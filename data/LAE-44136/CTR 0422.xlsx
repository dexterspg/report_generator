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nakisainc-my.sharepoint.com/personal/cfulger_nakisa_com/Documents/Documents/Abbott/"/>
    </mc:Choice>
  </mc:AlternateContent>
  <xr:revisionPtr revIDLastSave="38" documentId="8_{061E60F3-CD66-4189-A6F1-ED5824894615}" xr6:coauthVersionLast="47" xr6:coauthVersionMax="47" xr10:uidLastSave="{198F02D7-35B4-4830-AA1C-13637C454931}"/>
  <bookViews>
    <workbookView xWindow="-110" yWindow="-110" windowWidth="19420" windowHeight="11500" activeTab="2" xr2:uid="{4B450442-8F7A-4F2B-B61B-922CCE2E4D9A}"/>
  </bookViews>
  <sheets>
    <sheet name="CTR " sheetId="2" r:id="rId1"/>
    <sheet name="Pivot" sheetId="3" r:id="rId2"/>
    <sheet name="Remeasurement" sheetId="1" r:id="rId3"/>
  </sheets>
  <definedNames>
    <definedName name="_xlnm._FilterDatabase" localSheetId="0" hidden="1">'CTR '!$A$27:$BP$42</definedName>
  </definedNames>
  <calcPr calcId="191029"/>
  <pivotCaches>
    <pivotCache cacheId="2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" i="1" l="1"/>
  <c r="L13" i="1"/>
  <c r="L11" i="1"/>
  <c r="F9" i="1"/>
  <c r="C9" i="1"/>
  <c r="B9" i="1"/>
  <c r="A9" i="1"/>
  <c r="L17" i="1"/>
  <c r="M17" i="1" s="1"/>
  <c r="L16" i="1"/>
  <c r="M16" i="1" s="1"/>
  <c r="L15" i="1"/>
  <c r="M15" i="1" s="1"/>
  <c r="L14" i="1"/>
  <c r="M14" i="1" s="1"/>
  <c r="L12" i="1"/>
  <c r="M12" i="1" s="1"/>
  <c r="M11" i="1"/>
  <c r="M18" i="1" l="1"/>
  <c r="M20" i="1" s="1"/>
</calcChain>
</file>

<file path=xl/sharedStrings.xml><?xml version="1.0" encoding="utf-8"?>
<sst xmlns="http://schemas.openxmlformats.org/spreadsheetml/2006/main" count="671" uniqueCount="189">
  <si>
    <t>Contract Currency</t>
  </si>
  <si>
    <t xml:space="preserve">USD </t>
  </si>
  <si>
    <t xml:space="preserve">Company Currency </t>
  </si>
  <si>
    <t>BOB</t>
  </si>
  <si>
    <t>Period 12</t>
  </si>
  <si>
    <t>Balance Sheet</t>
  </si>
  <si>
    <t>Initial Measurement</t>
  </si>
  <si>
    <t>Re-Measurement</t>
  </si>
  <si>
    <t xml:space="preserve">Account Number </t>
  </si>
  <si>
    <t>Account Name</t>
  </si>
  <si>
    <t xml:space="preserve">Account Type </t>
  </si>
  <si>
    <t xml:space="preserve">Monetary? </t>
  </si>
  <si>
    <t xml:space="preserve">Account Currency </t>
  </si>
  <si>
    <t xml:space="preserve">Balance in Contract Currency </t>
  </si>
  <si>
    <t>Intial measurement Company Currency Balance -(USD)</t>
  </si>
  <si>
    <t>Rate</t>
  </si>
  <si>
    <t xml:space="preserve">Period-End Spot Exchange Rate </t>
  </si>
  <si>
    <t>Re-measured Balance -Company Currency (USD)</t>
  </si>
  <si>
    <t>FX (Gain) or Loss</t>
  </si>
  <si>
    <t>0000159010</t>
  </si>
  <si>
    <t>JE-AD OWN Asset-Equ</t>
  </si>
  <si>
    <t xml:space="preserve">Contra Asset </t>
  </si>
  <si>
    <t>Non-Monetary</t>
  </si>
  <si>
    <t>Historical</t>
  </si>
  <si>
    <t>0000159999</t>
  </si>
  <si>
    <t>AA-Asset Clearing</t>
  </si>
  <si>
    <t xml:space="preserve">Asset </t>
  </si>
  <si>
    <t>0000200500</t>
  </si>
  <si>
    <t>AP Clearing SLAN</t>
  </si>
  <si>
    <t>Liability</t>
  </si>
  <si>
    <t xml:space="preserve">Monetary </t>
  </si>
  <si>
    <t>Period End</t>
  </si>
  <si>
    <t>0000210503</t>
  </si>
  <si>
    <t>ROU_ASSET</t>
  </si>
  <si>
    <t>0000270000</t>
  </si>
  <si>
    <t>Accrued Interest</t>
  </si>
  <si>
    <t>0000280900</t>
  </si>
  <si>
    <t>st lease</t>
  </si>
  <si>
    <t>0000280903</t>
  </si>
  <si>
    <t>LT Lease Payable</t>
  </si>
  <si>
    <t xml:space="preserve">Power Plan Amount </t>
  </si>
  <si>
    <t>Nakisa</t>
  </si>
  <si>
    <t>Consolidated Transaction Report</t>
  </si>
  <si>
    <t>Object List Inputs</t>
  </si>
  <si>
    <t>Job Inputs</t>
  </si>
  <si>
    <t>Report Information</t>
  </si>
  <si>
    <t>Application</t>
  </si>
  <si>
    <t>Nakisa Lease Accounting (NLA)</t>
  </si>
  <si>
    <t>Date Range Type</t>
  </si>
  <si>
    <t>Posting Date</t>
  </si>
  <si>
    <t>Environment</t>
  </si>
  <si>
    <t>preview - preview1</t>
  </si>
  <si>
    <t>Object Type</t>
  </si>
  <si>
    <t>Activation Group ID</t>
  </si>
  <si>
    <t>Start Date</t>
  </si>
  <si>
    <t>Report Id</t>
  </si>
  <si>
    <t>Object List</t>
  </si>
  <si>
    <t>AG-100020643</t>
  </si>
  <si>
    <t>End Date</t>
  </si>
  <si>
    <t>Created By</t>
  </si>
  <si>
    <t>hwilson@nakisa.com</t>
  </si>
  <si>
    <t>Accounting Standard Type</t>
  </si>
  <si>
    <t>GAAP</t>
  </si>
  <si>
    <t>Generated At</t>
  </si>
  <si>
    <t>Migrated Filter</t>
  </si>
  <si>
    <t>All</t>
  </si>
  <si>
    <t>Number Of Records</t>
  </si>
  <si>
    <t>Transaction Type Values</t>
  </si>
  <si>
    <t>Ledger Types</t>
  </si>
  <si>
    <t>Classifications</t>
  </si>
  <si>
    <t>Internal Asset Class</t>
  </si>
  <si>
    <t>Partners</t>
  </si>
  <si>
    <t>Journal States</t>
  </si>
  <si>
    <t>External Status</t>
  </si>
  <si>
    <t>Business Areas</t>
  </si>
  <si>
    <t>Functional Areas</t>
  </si>
  <si>
    <t>ERP System</t>
  </si>
  <si>
    <t>Lease Area</t>
  </si>
  <si>
    <t>Business Unit</t>
  </si>
  <si>
    <t>Lease Department</t>
  </si>
  <si>
    <t>Unit Cost Center</t>
  </si>
  <si>
    <t>Unit Profit Center</t>
  </si>
  <si>
    <t>Unit Responsible Cost Center</t>
  </si>
  <si>
    <t>WBS</t>
  </si>
  <si>
    <t>Business Area</t>
  </si>
  <si>
    <t>Functional Area</t>
  </si>
  <si>
    <t>Segment</t>
  </si>
  <si>
    <t>Migrated</t>
  </si>
  <si>
    <t>Source</t>
  </si>
  <si>
    <t>Purchase Organization</t>
  </si>
  <si>
    <t>Purchase Order</t>
  </si>
  <si>
    <t>Transaction Type</t>
  </si>
  <si>
    <t>Transaction Type Value</t>
  </si>
  <si>
    <t>Contract ID</t>
  </si>
  <si>
    <t>Contract Name</t>
  </si>
  <si>
    <t>Lease Component ID</t>
  </si>
  <si>
    <t>External Contract Reference</t>
  </si>
  <si>
    <t>Contract Cost Center</t>
  </si>
  <si>
    <t>Principal Position</t>
  </si>
  <si>
    <t>Location ID - NPM</t>
  </si>
  <si>
    <t>Premises ID - NPM</t>
  </si>
  <si>
    <t>Contract ID - NPM</t>
  </si>
  <si>
    <t>Company</t>
  </si>
  <si>
    <t>Accounting Standard</t>
  </si>
  <si>
    <t>Lease Classification</t>
  </si>
  <si>
    <t>Unit</t>
  </si>
  <si>
    <t>Internal Document Number</t>
  </si>
  <si>
    <t>External Document Number</t>
  </si>
  <si>
    <t>Internal Reversal Document Number</t>
  </si>
  <si>
    <t>External Reversal Document Number</t>
  </si>
  <si>
    <t>Original Internal Document Number</t>
  </si>
  <si>
    <t>Original External Document Number</t>
  </si>
  <si>
    <t>Journal State</t>
  </si>
  <si>
    <t>Internal Status</t>
  </si>
  <si>
    <t>Externally Posted By</t>
  </si>
  <si>
    <t>Fiscal Year</t>
  </si>
  <si>
    <t>Fiscal Period</t>
  </si>
  <si>
    <t>Translation Date</t>
  </si>
  <si>
    <t>Document Date</t>
  </si>
  <si>
    <t>Document Type</t>
  </si>
  <si>
    <t>Depreciation Area</t>
  </si>
  <si>
    <t>Account Number</t>
  </si>
  <si>
    <t>Partner ID</t>
  </si>
  <si>
    <t>Partner Name</t>
  </si>
  <si>
    <t>Trading Partner ID</t>
  </si>
  <si>
    <t>Trading Partner Name</t>
  </si>
  <si>
    <t>Accounting Entry</t>
  </si>
  <si>
    <t>Description</t>
  </si>
  <si>
    <t>Amount in Contract Currency</t>
  </si>
  <si>
    <t>Company Currency</t>
  </si>
  <si>
    <t>Company Currency Exchange Rate</t>
  </si>
  <si>
    <t>Amount in Company Currency</t>
  </si>
  <si>
    <t>Group Currency 1</t>
  </si>
  <si>
    <t>Group Currency Exchange Rate 1</t>
  </si>
  <si>
    <t>Amount in Group Currency 1</t>
  </si>
  <si>
    <t>Group Currency 2</t>
  </si>
  <si>
    <t>Group Currency Exchange Rate 2</t>
  </si>
  <si>
    <t>Amount in Group Currency 2</t>
  </si>
  <si>
    <t>FINQ8S-300 - FINQ8S-300</t>
  </si>
  <si>
    <t>0001 - Global Lease Area</t>
  </si>
  <si>
    <t>BU0001 - Global Business Unit</t>
  </si>
  <si>
    <t>0000000110 - CXR Canada PC1</t>
  </si>
  <si>
    <t>Local</t>
  </si>
  <si>
    <t>CT-100020576</t>
  </si>
  <si>
    <t>Abbott-00422</t>
  </si>
  <si>
    <t>LC-100024622</t>
  </si>
  <si>
    <t>0000011010 - Operations Nakisa Canada 1000</t>
  </si>
  <si>
    <t>Lessee</t>
  </si>
  <si>
    <t>1000</t>
  </si>
  <si>
    <t>GAAP - USGAAP</t>
  </si>
  <si>
    <t>Operating</t>
  </si>
  <si>
    <t>IAC0006 - Building</t>
  </si>
  <si>
    <t>UN-100029755</t>
  </si>
  <si>
    <t>2026046325</t>
  </si>
  <si>
    <t>Post</t>
  </si>
  <si>
    <t>Posted</t>
  </si>
  <si>
    <t>Open</t>
  </si>
  <si>
    <t>SA - G/L Account Document</t>
  </si>
  <si>
    <t>Credit</t>
  </si>
  <si>
    <t>Recognition</t>
  </si>
  <si>
    <t>USD - United States Dollar</t>
  </si>
  <si>
    <t>CAD - Canadian Dollar</t>
  </si>
  <si>
    <t>Debit</t>
  </si>
  <si>
    <t>Asset Capitalization</t>
  </si>
  <si>
    <t>2026046326</t>
  </si>
  <si>
    <t>DR - Customer Invoice</t>
  </si>
  <si>
    <t>Payment</t>
  </si>
  <si>
    <t>2026046331</t>
  </si>
  <si>
    <t>DG - Customer Credit Memo</t>
  </si>
  <si>
    <t>Accrual</t>
  </si>
  <si>
    <t>2026046329</t>
  </si>
  <si>
    <t>0000600000</t>
  </si>
  <si>
    <t>Interest Charge/Rent</t>
  </si>
  <si>
    <t>Depreciation</t>
  </si>
  <si>
    <t>2026046330</t>
  </si>
  <si>
    <t>40 - USGAAP</t>
  </si>
  <si>
    <t>0000700006</t>
  </si>
  <si>
    <t>DEPRECIATION_CHARGE</t>
  </si>
  <si>
    <t>Sum of Amount in Contract Currency</t>
  </si>
  <si>
    <t>Sum of Amount in Company Currency</t>
  </si>
  <si>
    <t>P&amp;L</t>
  </si>
  <si>
    <t>CTR "R"</t>
  </si>
  <si>
    <t>CTR "AX"</t>
  </si>
  <si>
    <t>CTR "AY"</t>
  </si>
  <si>
    <t>Mapping</t>
  </si>
  <si>
    <t>CTR "BF" only symbol</t>
  </si>
  <si>
    <t>sum of all entries</t>
  </si>
  <si>
    <t>CAD</t>
  </si>
  <si>
    <t>CTR "BH" symbol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</si>
</sst>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_(#,##0.00_);_(\(#,##0.00\);_(&quot;-&quot;_);_(@_)"/>
    <numFmt numFmtId="166" formatCode="yyyy\-mm\-dd"/>
    <numFmt numFmtId="167" formatCode="###0"/>
    <numFmt numFmtId="168" formatCode="yyyy\-mm\-dd\ hh:mm:ss"/>
    <numFmt numFmtId="169" formatCode="#,##0.0000"/>
  </numFmts>
  <fonts count="11" x14ac:knownFonts="1"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8"/>
      <color indexed="40"/>
      <name val="Calibri"/>
      <family val="2"/>
    </font>
    <font>
      <b/>
      <sz val="16"/>
      <color indexed="8"/>
      <name val="Calibri"/>
      <family val="2"/>
    </font>
    <font>
      <b/>
      <sz val="13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9"/>
      </patternFill>
    </fill>
    <fill>
      <patternFill patternType="solid">
        <fgColor indexed="9"/>
      </patternFill>
    </fill>
    <fill>
      <patternFill patternType="solid">
        <fgColor indexed="55" tint="0.29999694814905242"/>
        <bgColor indexed="65"/>
      </patternFill>
    </fill>
    <fill>
      <patternFill patternType="solid">
        <fgColor indexed="22" tint="0.19998779259620961"/>
        <bgColor indexed="65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3" fillId="0" borderId="0"/>
    <xf numFmtId="43" fontId="3" fillId="0" borderId="0" applyFont="0" applyFill="0" applyBorder="0" applyAlignment="0" applyProtection="0"/>
  </cellStyleXfs>
  <cellXfs count="57">
    <xf numFmtId="0" fontId="0" fillId="0" borderId="0" xfId="0"/>
    <xf numFmtId="0" fontId="3" fillId="0" borderId="0" xfId="2" applyAlignment="1">
      <alignment wrapText="1"/>
    </xf>
    <xf numFmtId="0" fontId="3" fillId="0" borderId="0" xfId="2" applyAlignment="1">
      <alignment horizontal="center" wrapText="1"/>
    </xf>
    <xf numFmtId="0" fontId="2" fillId="0" borderId="0" xfId="2" applyFont="1" applyAlignment="1">
      <alignment wrapText="1"/>
    </xf>
    <xf numFmtId="0" fontId="1" fillId="0" borderId="0" xfId="1" applyFill="1" applyBorder="1" applyAlignment="1">
      <alignment wrapText="1"/>
    </xf>
    <xf numFmtId="0" fontId="2" fillId="0" borderId="5" xfId="2" applyFont="1" applyBorder="1" applyAlignment="1">
      <alignment horizontal="center" vertical="top" wrapText="1"/>
    </xf>
    <xf numFmtId="0" fontId="2" fillId="6" borderId="5" xfId="2" applyFont="1" applyFill="1" applyBorder="1" applyAlignment="1">
      <alignment horizontal="center" vertical="top" wrapText="1"/>
    </xf>
    <xf numFmtId="0" fontId="2" fillId="0" borderId="6" xfId="2" applyFont="1" applyBorder="1" applyAlignment="1">
      <alignment horizontal="center" vertical="top" wrapText="1"/>
    </xf>
    <xf numFmtId="0" fontId="2" fillId="6" borderId="6" xfId="2" applyFont="1" applyFill="1" applyBorder="1" applyAlignment="1">
      <alignment horizontal="center" vertical="top" wrapText="1"/>
    </xf>
    <xf numFmtId="0" fontId="2" fillId="0" borderId="5" xfId="0" applyFont="1" applyBorder="1"/>
    <xf numFmtId="0" fontId="0" fillId="0" borderId="5" xfId="0" applyBorder="1"/>
    <xf numFmtId="0" fontId="3" fillId="6" borderId="5" xfId="2" applyFill="1" applyBorder="1" applyAlignment="1">
      <alignment wrapText="1"/>
    </xf>
    <xf numFmtId="0" fontId="3" fillId="7" borderId="5" xfId="2" applyFill="1" applyBorder="1" applyAlignment="1">
      <alignment wrapText="1"/>
    </xf>
    <xf numFmtId="43" fontId="0" fillId="0" borderId="5" xfId="3" applyFont="1" applyBorder="1" applyAlignment="1">
      <alignment wrapText="1"/>
    </xf>
    <xf numFmtId="3" fontId="3" fillId="6" borderId="5" xfId="2" applyNumberFormat="1" applyFill="1" applyBorder="1" applyAlignment="1">
      <alignment horizontal="center" wrapText="1"/>
    </xf>
    <xf numFmtId="43" fontId="3" fillId="0" borderId="5" xfId="2" applyNumberFormat="1" applyBorder="1" applyAlignment="1">
      <alignment wrapText="1"/>
    </xf>
    <xf numFmtId="164" fontId="3" fillId="0" borderId="5" xfId="2" applyNumberFormat="1" applyBorder="1" applyAlignment="1">
      <alignment horizontal="left" wrapText="1" indent="3"/>
    </xf>
    <xf numFmtId="16" fontId="3" fillId="0" borderId="0" xfId="2" applyNumberFormat="1" applyAlignment="1">
      <alignment wrapText="1"/>
    </xf>
    <xf numFmtId="0" fontId="5" fillId="0" borderId="0" xfId="2" applyFont="1" applyAlignment="1">
      <alignment wrapText="1"/>
    </xf>
    <xf numFmtId="164" fontId="0" fillId="0" borderId="0" xfId="3" applyNumberFormat="1" applyFont="1" applyFill="1" applyBorder="1" applyAlignment="1">
      <alignment wrapText="1"/>
    </xf>
    <xf numFmtId="165" fontId="3" fillId="0" borderId="0" xfId="2" applyNumberFormat="1" applyAlignment="1">
      <alignment wrapText="1"/>
    </xf>
    <xf numFmtId="3" fontId="3" fillId="0" borderId="0" xfId="2" applyNumberFormat="1" applyAlignment="1">
      <alignment horizontal="center" wrapText="1"/>
    </xf>
    <xf numFmtId="43" fontId="3" fillId="0" borderId="0" xfId="2" applyNumberFormat="1" applyAlignment="1">
      <alignment wrapText="1"/>
    </xf>
    <xf numFmtId="43" fontId="3" fillId="0" borderId="0" xfId="2" applyNumberFormat="1" applyAlignment="1">
      <alignment horizontal="right" wrapText="1"/>
    </xf>
    <xf numFmtId="43" fontId="3" fillId="0" borderId="7" xfId="2" applyNumberFormat="1" applyBorder="1" applyAlignment="1">
      <alignment wrapText="1"/>
    </xf>
    <xf numFmtId="43" fontId="4" fillId="0" borderId="0" xfId="2" applyNumberFormat="1" applyFont="1" applyAlignment="1">
      <alignment wrapText="1"/>
    </xf>
    <xf numFmtId="0" fontId="3" fillId="0" borderId="0" xfId="2"/>
    <xf numFmtId="49" fontId="8" fillId="10" borderId="0" xfId="2" applyNumberFormat="1" applyFont="1" applyFill="1" applyAlignment="1">
      <alignment horizontal="center" vertical="center"/>
    </xf>
    <xf numFmtId="49" fontId="9" fillId="8" borderId="0" xfId="2" applyNumberFormat="1" applyFont="1" applyFill="1" applyAlignment="1">
      <alignment horizontal="left" vertical="center"/>
    </xf>
    <xf numFmtId="0" fontId="10" fillId="0" borderId="0" xfId="2" applyFont="1" applyAlignment="1">
      <alignment horizontal="left" vertical="center"/>
    </xf>
    <xf numFmtId="166" fontId="10" fillId="0" borderId="0" xfId="2" applyNumberFormat="1" applyFont="1" applyAlignment="1">
      <alignment horizontal="left" vertical="center"/>
    </xf>
    <xf numFmtId="167" fontId="10" fillId="0" borderId="0" xfId="2" applyNumberFormat="1" applyFont="1" applyAlignment="1">
      <alignment horizontal="left" vertical="center"/>
    </xf>
    <xf numFmtId="168" fontId="10" fillId="0" borderId="0" xfId="2" applyNumberFormat="1" applyFont="1" applyAlignment="1">
      <alignment horizontal="left" vertical="center"/>
    </xf>
    <xf numFmtId="3" fontId="10" fillId="0" borderId="0" xfId="2" applyNumberFormat="1" applyFont="1" applyAlignment="1">
      <alignment horizontal="left" vertical="center"/>
    </xf>
    <xf numFmtId="165" fontId="10" fillId="0" borderId="0" xfId="2" applyNumberFormat="1" applyFont="1" applyAlignment="1">
      <alignment horizontal="left" vertical="center"/>
    </xf>
    <xf numFmtId="169" fontId="10" fillId="0" borderId="0" xfId="2" applyNumberFormat="1" applyFont="1" applyAlignment="1">
      <alignment horizontal="left" vertical="center"/>
    </xf>
    <xf numFmtId="0" fontId="0" fillId="0" borderId="0" xfId="0" pivotButton="1"/>
    <xf numFmtId="165" fontId="0" fillId="0" borderId="0" xfId="0" applyNumberFormat="1"/>
    <xf numFmtId="0" fontId="4" fillId="3" borderId="2" xfId="2" applyFont="1" applyFill="1" applyBorder="1" applyAlignment="1">
      <alignment horizontal="center" wrapText="1"/>
    </xf>
    <xf numFmtId="0" fontId="4" fillId="3" borderId="3" xfId="2" applyFont="1" applyFill="1" applyBorder="1" applyAlignment="1">
      <alignment horizontal="center" wrapText="1"/>
    </xf>
    <xf numFmtId="0" fontId="4" fillId="3" borderId="4" xfId="2" applyFont="1" applyFill="1" applyBorder="1" applyAlignment="1">
      <alignment horizontal="center" wrapText="1"/>
    </xf>
    <xf numFmtId="0" fontId="2" fillId="4" borderId="2" xfId="2" applyFont="1" applyFill="1" applyBorder="1" applyAlignment="1">
      <alignment horizontal="center" wrapText="1"/>
    </xf>
    <xf numFmtId="0" fontId="2" fillId="4" borderId="4" xfId="2" applyFont="1" applyFill="1" applyBorder="1" applyAlignment="1">
      <alignment horizontal="center" wrapText="1"/>
    </xf>
    <xf numFmtId="0" fontId="2" fillId="5" borderId="2" xfId="2" applyFont="1" applyFill="1" applyBorder="1" applyAlignment="1">
      <alignment horizontal="center" wrapText="1"/>
    </xf>
    <xf numFmtId="0" fontId="2" fillId="5" borderId="4" xfId="2" applyFont="1" applyFill="1" applyBorder="1" applyAlignment="1">
      <alignment horizontal="center" wrapText="1"/>
    </xf>
    <xf numFmtId="49" fontId="9" fillId="8" borderId="0" xfId="2" applyNumberFormat="1" applyFont="1" applyFill="1" applyAlignment="1">
      <alignment horizontal="left" vertical="center"/>
    </xf>
    <xf numFmtId="0" fontId="3" fillId="0" borderId="0" xfId="2"/>
    <xf numFmtId="0" fontId="10" fillId="0" borderId="0" xfId="2" applyFont="1" applyAlignment="1">
      <alignment horizontal="left" vertical="center"/>
    </xf>
    <xf numFmtId="49" fontId="6" fillId="8" borderId="0" xfId="2" applyNumberFormat="1" applyFont="1" applyFill="1" applyAlignment="1">
      <alignment horizontal="center" vertical="center"/>
    </xf>
    <xf numFmtId="49" fontId="7" fillId="9" borderId="0" xfId="2" applyNumberFormat="1" applyFont="1" applyFill="1" applyAlignment="1">
      <alignment horizontal="center" vertical="center"/>
    </xf>
    <xf numFmtId="49" fontId="8" fillId="10" borderId="0" xfId="2" applyNumberFormat="1" applyFont="1" applyFill="1" applyAlignment="1">
      <alignment horizontal="center" vertical="center"/>
    </xf>
    <xf numFmtId="0" fontId="2" fillId="4" borderId="0" xfId="2" applyFont="1" applyFill="1" applyBorder="1" applyAlignment="1">
      <alignment horizontal="center" wrapText="1"/>
    </xf>
    <xf numFmtId="0" fontId="2" fillId="5" borderId="0" xfId="2" applyFont="1" applyFill="1" applyBorder="1" applyAlignment="1">
      <alignment horizontal="center" wrapText="1"/>
    </xf>
    <xf numFmtId="49" fontId="3" fillId="0" borderId="0" xfId="2" applyNumberFormat="1" applyAlignment="1">
      <alignment wrapText="1"/>
    </xf>
    <xf numFmtId="49" fontId="4" fillId="0" borderId="0" xfId="2" applyNumberFormat="1" applyFont="1" applyAlignment="1">
      <alignment wrapText="1"/>
    </xf>
    <xf numFmtId="49" fontId="2" fillId="0" borderId="0" xfId="2" applyNumberFormat="1" applyFont="1" applyAlignment="1">
      <alignment wrapText="1"/>
    </xf>
    <xf numFmtId="49" fontId="1" fillId="0" borderId="0" xfId="1" applyNumberFormat="1" applyFill="1" applyBorder="1" applyAlignment="1">
      <alignment wrapText="1"/>
    </xf>
  </cellXfs>
  <cellStyles count="4">
    <cellStyle name="Comma 2" xfId="3" xr:uid="{5320AEE4-76D5-464E-AD5D-49EDB82B5F2C}"/>
    <cellStyle name="Input" xfId="1" builtinId="20"/>
    <cellStyle name="Normal" xfId="0" builtinId="0"/>
    <cellStyle name="Normal 2" xfId="2" xr:uid="{92E899CE-3F6F-4679-9F80-E145FC41FC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iley Wilson" refreshedDate="46077.646423611113" createdVersion="8" refreshedVersion="8" minRefreshableVersion="3" recordCount="15" xr:uid="{63FA4D83-7A21-4B6D-B0EF-2ABD63C36233}">
  <cacheSource type="worksheet">
    <worksheetSource ref="A27:BP42" sheet="CTR "/>
  </cacheSource>
  <cacheFields count="68">
    <cacheField name="ERP System" numFmtId="0">
      <sharedItems/>
    </cacheField>
    <cacheField name="Lease Area" numFmtId="0">
      <sharedItems/>
    </cacheField>
    <cacheField name="Business Unit" numFmtId="0">
      <sharedItems/>
    </cacheField>
    <cacheField name="Lease Department" numFmtId="0">
      <sharedItems containsNonDate="0" containsString="0" containsBlank="1"/>
    </cacheField>
    <cacheField name="Unit Cost Center" numFmtId="0">
      <sharedItems containsBlank="1"/>
    </cacheField>
    <cacheField name="Unit Profit Center" numFmtId="0">
      <sharedItems/>
    </cacheField>
    <cacheField name="Unit Responsible Cost Center" numFmtId="0">
      <sharedItems containsNonDate="0" containsString="0" containsBlank="1"/>
    </cacheField>
    <cacheField name="WBS" numFmtId="0">
      <sharedItems containsNonDate="0" containsString="0" containsBlank="1"/>
    </cacheField>
    <cacheField name="Business Area" numFmtId="0">
      <sharedItems containsNonDate="0" containsString="0" containsBlank="1"/>
    </cacheField>
    <cacheField name="Functional Area" numFmtId="0">
      <sharedItems containsNonDate="0" containsString="0" containsBlank="1"/>
    </cacheField>
    <cacheField name="Segment" numFmtId="0">
      <sharedItems containsNonDate="0" containsString="0" containsBlank="1"/>
    </cacheField>
    <cacheField name="Migrated" numFmtId="0">
      <sharedItems/>
    </cacheField>
    <cacheField name="Source" numFmtId="0">
      <sharedItems/>
    </cacheField>
    <cacheField name="Purchase Organization" numFmtId="0">
      <sharedItems containsNonDate="0" containsString="0" containsBlank="1"/>
    </cacheField>
    <cacheField name="Purchase Order" numFmtId="0">
      <sharedItems containsNonDate="0" containsString="0" containsBlank="1"/>
    </cacheField>
    <cacheField name="Transaction Type" numFmtId="0">
      <sharedItems/>
    </cacheField>
    <cacheField name="Transaction Type Value" numFmtId="0">
      <sharedItems containsNonDate="0" containsString="0" containsBlank="1"/>
    </cacheField>
    <cacheField name="Contract ID" numFmtId="0">
      <sharedItems/>
    </cacheField>
    <cacheField name="Contract Name" numFmtId="0">
      <sharedItems/>
    </cacheField>
    <cacheField name="Lease Component ID" numFmtId="0">
      <sharedItems/>
    </cacheField>
    <cacheField name="Activation Group ID" numFmtId="0">
      <sharedItems/>
    </cacheField>
    <cacheField name="External Contract Reference" numFmtId="0">
      <sharedItems containsNonDate="0" containsString="0" containsBlank="1"/>
    </cacheField>
    <cacheField name="Contract Cost Center" numFmtId="0">
      <sharedItems/>
    </cacheField>
    <cacheField name="Principal Position" numFmtId="0">
      <sharedItems/>
    </cacheField>
    <cacheField name="Location ID - NPM" numFmtId="0">
      <sharedItems containsNonDate="0" containsString="0" containsBlank="1"/>
    </cacheField>
    <cacheField name="Premises ID - NPM" numFmtId="0">
      <sharedItems containsNonDate="0" containsString="0" containsBlank="1"/>
    </cacheField>
    <cacheField name="Contract ID - NPM" numFmtId="0">
      <sharedItems containsNonDate="0" containsString="0" containsBlank="1"/>
    </cacheField>
    <cacheField name="Company" numFmtId="0">
      <sharedItems/>
    </cacheField>
    <cacheField name="Accounting Standard" numFmtId="0">
      <sharedItems/>
    </cacheField>
    <cacheField name="Lease Classification" numFmtId="0">
      <sharedItems/>
    </cacheField>
    <cacheField name="Internal Asset Class" numFmtId="0">
      <sharedItems/>
    </cacheField>
    <cacheField name="Unit" numFmtId="0">
      <sharedItems/>
    </cacheField>
    <cacheField name="Internal Document Number" numFmtId="0">
      <sharedItems/>
    </cacheField>
    <cacheField name="External Document Number" numFmtId="0">
      <sharedItems containsNonDate="0" containsString="0" containsBlank="1"/>
    </cacheField>
    <cacheField name="Internal Reversal Document Number" numFmtId="0">
      <sharedItems containsNonDate="0" containsString="0" containsBlank="1"/>
    </cacheField>
    <cacheField name="External Reversal Document Number" numFmtId="0">
      <sharedItems containsNonDate="0" containsString="0" containsBlank="1"/>
    </cacheField>
    <cacheField name="Original Internal Document Number" numFmtId="0">
      <sharedItems containsNonDate="0" containsString="0" containsBlank="1"/>
    </cacheField>
    <cacheField name="Original External Document Number" numFmtId="0">
      <sharedItems containsNonDate="0" containsString="0" containsBlank="1"/>
    </cacheField>
    <cacheField name="Journal State" numFmtId="0">
      <sharedItems/>
    </cacheField>
    <cacheField name="Internal Status" numFmtId="0">
      <sharedItems/>
    </cacheField>
    <cacheField name="External Status" numFmtId="0">
      <sharedItems/>
    </cacheField>
    <cacheField name="Externally Posted By" numFmtId="0">
      <sharedItems containsNonDate="0" containsString="0" containsBlank="1"/>
    </cacheField>
    <cacheField name="Fiscal Year" numFmtId="167">
      <sharedItems containsSemiMixedTypes="0" containsString="0" containsNumber="1" containsInteger="1" minValue="2026" maxValue="2026"/>
    </cacheField>
    <cacheField name="Fiscal Period" numFmtId="167">
      <sharedItems containsSemiMixedTypes="0" containsString="0" containsNumber="1" containsInteger="1" minValue="12" maxValue="12"/>
    </cacheField>
    <cacheField name="Translation Date" numFmtId="166">
      <sharedItems containsSemiMixedTypes="0" containsNonDate="0" containsDate="1" containsString="0" minDate="2025-12-01T00:00:00" maxDate="2026-01-01T00:00:00"/>
    </cacheField>
    <cacheField name="Posting Date" numFmtId="166">
      <sharedItems containsSemiMixedTypes="0" containsNonDate="0" containsDate="1" containsString="0" minDate="2025-12-01T00:00:00" maxDate="2026-01-01T00:00:00"/>
    </cacheField>
    <cacheField name="Document Date" numFmtId="166">
      <sharedItems containsSemiMixedTypes="0" containsNonDate="0" containsDate="1" containsString="0" minDate="2025-12-01T00:00:00" maxDate="2026-01-01T00:00:00"/>
    </cacheField>
    <cacheField name="Document Type" numFmtId="0">
      <sharedItems/>
    </cacheField>
    <cacheField name="Depreciation Area" numFmtId="0">
      <sharedItems containsBlank="1"/>
    </cacheField>
    <cacheField name="Account Number" numFmtId="0">
      <sharedItems count="9">
        <s v="0000280903"/>
        <s v="0000159999"/>
        <s v="0000270000"/>
        <s v="0000210503"/>
        <s v="0000159010"/>
        <s v="0000200500"/>
        <s v="0000280900"/>
        <s v="0000600000"/>
        <s v="0000700006"/>
      </sharedItems>
    </cacheField>
    <cacheField name="Account Name" numFmtId="0">
      <sharedItems count="9">
        <s v="LT Lease Payable"/>
        <s v="AA-Asset Clearing"/>
        <s v="Accrued Interest"/>
        <s v="ROU_ASSET"/>
        <s v="JE-AD OWN Asset-Equ"/>
        <s v="AP Clearing SLAN"/>
        <s v="st lease"/>
        <s v="Interest Charge/Rent"/>
        <s v="DEPRECIATION_CHARGE"/>
      </sharedItems>
    </cacheField>
    <cacheField name="Partner ID" numFmtId="0">
      <sharedItems containsNonDate="0" containsString="0" containsBlank="1"/>
    </cacheField>
    <cacheField name="Partner Name" numFmtId="0">
      <sharedItems containsNonDate="0" containsString="0" containsBlank="1"/>
    </cacheField>
    <cacheField name="Trading Partner ID" numFmtId="0">
      <sharedItems containsNonDate="0" containsString="0" containsBlank="1"/>
    </cacheField>
    <cacheField name="Trading Partner Name" numFmtId="0">
      <sharedItems containsNonDate="0" containsString="0" containsBlank="1"/>
    </cacheField>
    <cacheField name="Accounting Entry" numFmtId="0">
      <sharedItems/>
    </cacheField>
    <cacheField name="Description" numFmtId="0">
      <sharedItems/>
    </cacheField>
    <cacheField name="Contract Currency" numFmtId="0">
      <sharedItems/>
    </cacheField>
    <cacheField name="Amount in Contract Currency" numFmtId="165">
      <sharedItems containsSemiMixedTypes="0" containsString="0" containsNumber="1" minValue="-110981.78" maxValue="140238.31"/>
    </cacheField>
    <cacheField name="Company Currency" numFmtId="0">
      <sharedItems/>
    </cacheField>
    <cacheField name="Company Currency Exchange Rate" numFmtId="169">
      <sharedItems containsSemiMixedTypes="0" containsString="0" containsNumber="1" minValue="6.92631" maxValue="6.9600000409999998"/>
    </cacheField>
    <cacheField name="Amount in Company Currency" numFmtId="165">
      <sharedItems containsSemiMixedTypes="0" containsString="0" containsNumber="1" minValue="-772433.19" maxValue="976058.64"/>
    </cacheField>
    <cacheField name="Group Currency 1" numFmtId="0">
      <sharedItems containsNonDate="0" containsString="0" containsBlank="1"/>
    </cacheField>
    <cacheField name="Group Currency Exchange Rate 1" numFmtId="169">
      <sharedItems containsNonDate="0" containsString="0" containsBlank="1"/>
    </cacheField>
    <cacheField name="Amount in Group Currency 1" numFmtId="165">
      <sharedItems containsNonDate="0" containsString="0" containsBlank="1"/>
    </cacheField>
    <cacheField name="Group Currency 2" numFmtId="0">
      <sharedItems containsNonDate="0" containsString="0" containsBlank="1"/>
    </cacheField>
    <cacheField name="Group Currency Exchange Rate 2" numFmtId="169">
      <sharedItems containsNonDate="0" containsString="0" containsBlank="1"/>
    </cacheField>
    <cacheField name="Amount in Group Currency 2" numFmtId="165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FINQ8S-300 - FINQ8S-300"/>
    <s v="0001 - Global Lease Area"/>
    <s v="BU0001 - Global Business Unit"/>
    <m/>
    <m/>
    <s v="0000000110 - CXR Canada PC1"/>
    <m/>
    <m/>
    <m/>
    <m/>
    <m/>
    <b v="0"/>
    <s v="Local"/>
    <m/>
    <m/>
    <s v="Liability"/>
    <m/>
    <s v="CT-100020576"/>
    <s v="Abbott-00422"/>
    <s v="LC-100024622"/>
    <s v="AG-100020643"/>
    <m/>
    <s v="0000011010 - Operations Nakisa Canada 1000"/>
    <s v="Lessee"/>
    <m/>
    <m/>
    <m/>
    <s v="1000"/>
    <s v="GAAP - USGAAP"/>
    <s v="Operating"/>
    <s v="IAC0006 - Building"/>
    <s v="UN-100029755"/>
    <s v="2026046325"/>
    <m/>
    <m/>
    <m/>
    <m/>
    <m/>
    <s v="Post"/>
    <s v="Posted"/>
    <s v="Open"/>
    <m/>
    <n v="2026"/>
    <n v="12"/>
    <d v="2025-12-01T00:00:00"/>
    <d v="2025-12-01T00:00:00"/>
    <d v="2025-12-01T00:00:00"/>
    <s v="SA - G/L Account Document"/>
    <m/>
    <x v="0"/>
    <x v="0"/>
    <m/>
    <m/>
    <m/>
    <m/>
    <s v="Credit"/>
    <s v="Recognition"/>
    <s v="USD - United States Dollar"/>
    <n v="-29389.56"/>
    <s v="CAD - Canadian Dollar"/>
    <n v="6.92631"/>
    <n v="-203561.21"/>
    <m/>
    <m/>
    <m/>
    <m/>
    <m/>
    <m/>
  </r>
  <r>
    <s v="FINQ8S-300 - FINQ8S-300"/>
    <s v="0001 - Global Lease Area"/>
    <s v="BU0001 - Global Business Unit"/>
    <m/>
    <m/>
    <s v="0000000110 - CXR Canada PC1"/>
    <m/>
    <m/>
    <m/>
    <m/>
    <m/>
    <b v="0"/>
    <s v="Local"/>
    <m/>
    <m/>
    <s v="Liability"/>
    <m/>
    <s v="CT-100020576"/>
    <s v="Abbott-00422"/>
    <s v="LC-100024622"/>
    <s v="AG-100020643"/>
    <m/>
    <s v="0000011010 - Operations Nakisa Canada 1000"/>
    <s v="Lessee"/>
    <m/>
    <m/>
    <m/>
    <s v="1000"/>
    <s v="GAAP - USGAAP"/>
    <s v="Operating"/>
    <s v="IAC0006 - Building"/>
    <s v="UN-100029755"/>
    <s v="2026046325"/>
    <m/>
    <m/>
    <m/>
    <m/>
    <m/>
    <s v="Post"/>
    <s v="Posted"/>
    <s v="Open"/>
    <m/>
    <n v="2026"/>
    <n v="12"/>
    <d v="2025-12-01T00:00:00"/>
    <d v="2025-12-01T00:00:00"/>
    <d v="2025-12-01T00:00:00"/>
    <s v="SA - G/L Account Document"/>
    <m/>
    <x v="1"/>
    <x v="1"/>
    <m/>
    <m/>
    <m/>
    <m/>
    <s v="Debit"/>
    <s v="Recognition"/>
    <s v="USD - United States Dollar"/>
    <n v="29421.47"/>
    <s v="CAD - Canadian Dollar"/>
    <n v="6.92631"/>
    <n v="203782.23"/>
    <m/>
    <m/>
    <m/>
    <m/>
    <m/>
    <m/>
  </r>
  <r>
    <s v="FINQ8S-300 - FINQ8S-300"/>
    <s v="0001 - Global Lease Area"/>
    <s v="BU0001 - Global Business Unit"/>
    <m/>
    <m/>
    <s v="0000000110 - CXR Canada PC1"/>
    <m/>
    <m/>
    <m/>
    <m/>
    <m/>
    <b v="0"/>
    <s v="Local"/>
    <m/>
    <m/>
    <s v="Liability"/>
    <m/>
    <s v="CT-100020576"/>
    <s v="Abbott-00422"/>
    <s v="LC-100024622"/>
    <s v="AG-100020643"/>
    <m/>
    <s v="0000011010 - Operations Nakisa Canada 1000"/>
    <s v="Lessee"/>
    <m/>
    <m/>
    <m/>
    <s v="1000"/>
    <s v="GAAP - USGAAP"/>
    <s v="Operating"/>
    <s v="IAC0006 - Building"/>
    <s v="UN-100029755"/>
    <s v="2026046325"/>
    <m/>
    <m/>
    <m/>
    <m/>
    <m/>
    <s v="Post"/>
    <s v="Posted"/>
    <s v="Open"/>
    <m/>
    <n v="2026"/>
    <n v="12"/>
    <d v="2025-12-01T00:00:00"/>
    <d v="2025-12-01T00:00:00"/>
    <d v="2025-12-01T00:00:00"/>
    <s v="SA - G/L Account Document"/>
    <m/>
    <x v="2"/>
    <x v="2"/>
    <m/>
    <m/>
    <m/>
    <m/>
    <s v="Credit"/>
    <s v="Recognition"/>
    <s v="USD - United States Dollar"/>
    <n v="-31.91"/>
    <s v="CAD - Canadian Dollar"/>
    <n v="6.92631"/>
    <n v="-221.02"/>
    <m/>
    <m/>
    <m/>
    <m/>
    <m/>
    <m/>
  </r>
  <r>
    <s v="FINQ8S-300 - FINQ8S-300"/>
    <s v="0001 - Global Lease Area"/>
    <s v="BU0001 - Global Business Unit"/>
    <m/>
    <m/>
    <s v="0000000110 - CXR Canada PC1"/>
    <m/>
    <m/>
    <m/>
    <m/>
    <m/>
    <b v="0"/>
    <s v="Local"/>
    <m/>
    <m/>
    <s v="Asset Capitalization"/>
    <m/>
    <s v="CT-100020576"/>
    <s v="Abbott-00422"/>
    <s v="LC-100024622"/>
    <s v="AG-100020643"/>
    <m/>
    <s v="0000011010 - Operations Nakisa Canada 1000"/>
    <s v="Lessee"/>
    <m/>
    <m/>
    <m/>
    <s v="1000"/>
    <s v="GAAP - USGAAP"/>
    <s v="Operating"/>
    <s v="IAC0006 - Building"/>
    <s v="UN-100029755"/>
    <s v="2026046326"/>
    <m/>
    <m/>
    <m/>
    <m/>
    <m/>
    <s v="Post"/>
    <s v="Posted"/>
    <s v="Open"/>
    <m/>
    <n v="2026"/>
    <n v="12"/>
    <d v="2025-12-01T00:00:00"/>
    <d v="2025-12-01T00:00:00"/>
    <d v="2025-12-01T00:00:00"/>
    <s v="DR - Customer Invoice"/>
    <m/>
    <x v="3"/>
    <x v="3"/>
    <m/>
    <m/>
    <m/>
    <m/>
    <s v="Debit"/>
    <s v="Recognition"/>
    <s v="USD - United States Dollar"/>
    <n v="140238.31"/>
    <s v="CAD - Canadian Dollar"/>
    <n v="6.9600000409999998"/>
    <n v="976058.64"/>
    <m/>
    <m/>
    <m/>
    <m/>
    <m/>
    <m/>
  </r>
  <r>
    <s v="FINQ8S-300 - FINQ8S-300"/>
    <s v="0001 - Global Lease Area"/>
    <s v="BU0001 - Global Business Unit"/>
    <m/>
    <m/>
    <s v="0000000110 - CXR Canada PC1"/>
    <m/>
    <m/>
    <m/>
    <m/>
    <m/>
    <b v="0"/>
    <s v="Local"/>
    <m/>
    <m/>
    <s v="Asset Capitalization"/>
    <m/>
    <s v="CT-100020576"/>
    <s v="Abbott-00422"/>
    <s v="LC-100024622"/>
    <s v="AG-100020643"/>
    <m/>
    <s v="0000011010 - Operations Nakisa Canada 1000"/>
    <s v="Lessee"/>
    <m/>
    <m/>
    <m/>
    <s v="1000"/>
    <s v="GAAP - USGAAP"/>
    <s v="Operating"/>
    <s v="IAC0006 - Building"/>
    <s v="UN-100029755"/>
    <s v="2026046326"/>
    <m/>
    <m/>
    <m/>
    <m/>
    <m/>
    <s v="Post"/>
    <s v="Posted"/>
    <s v="Open"/>
    <m/>
    <n v="2026"/>
    <n v="12"/>
    <d v="2025-12-01T00:00:00"/>
    <d v="2025-12-01T00:00:00"/>
    <d v="2025-12-01T00:00:00"/>
    <s v="DR - Customer Invoice"/>
    <m/>
    <x v="4"/>
    <x v="4"/>
    <m/>
    <m/>
    <m/>
    <m/>
    <s v="Credit"/>
    <s v="Recognition"/>
    <s v="USD - United States Dollar"/>
    <n v="-110981.78"/>
    <s v="CAD - Canadian Dollar"/>
    <n v="6.9600000409999998"/>
    <n v="-772433.19"/>
    <m/>
    <m/>
    <m/>
    <m/>
    <m/>
    <m/>
  </r>
  <r>
    <s v="FINQ8S-300 - FINQ8S-300"/>
    <s v="0001 - Global Lease Area"/>
    <s v="BU0001 - Global Business Unit"/>
    <m/>
    <m/>
    <s v="0000000110 - CXR Canada PC1"/>
    <m/>
    <m/>
    <m/>
    <m/>
    <m/>
    <b v="0"/>
    <s v="Local"/>
    <m/>
    <m/>
    <s v="Asset Capitalization"/>
    <m/>
    <s v="CT-100020576"/>
    <s v="Abbott-00422"/>
    <s v="LC-100024622"/>
    <s v="AG-100020643"/>
    <m/>
    <s v="0000011010 - Operations Nakisa Canada 1000"/>
    <s v="Lessee"/>
    <m/>
    <m/>
    <m/>
    <s v="1000"/>
    <s v="GAAP - USGAAP"/>
    <s v="Operating"/>
    <s v="IAC0006 - Building"/>
    <s v="UN-100029755"/>
    <s v="2026046326"/>
    <m/>
    <m/>
    <m/>
    <m/>
    <m/>
    <s v="Post"/>
    <s v="Posted"/>
    <s v="Open"/>
    <m/>
    <n v="2026"/>
    <n v="12"/>
    <d v="2025-12-01T00:00:00"/>
    <d v="2025-12-01T00:00:00"/>
    <d v="2025-12-01T00:00:00"/>
    <s v="DR - Customer Invoice"/>
    <m/>
    <x v="1"/>
    <x v="1"/>
    <m/>
    <m/>
    <m/>
    <m/>
    <s v="Credit"/>
    <s v="Recognition"/>
    <s v="USD - United States Dollar"/>
    <n v="-29256.53"/>
    <s v="CAD - Canadian Dollar"/>
    <n v="6.9600000409999998"/>
    <n v="-203625.45"/>
    <m/>
    <m/>
    <m/>
    <m/>
    <m/>
    <m/>
  </r>
  <r>
    <s v="FINQ8S-300 - FINQ8S-300"/>
    <s v="0001 - Global Lease Area"/>
    <s v="BU0001 - Global Business Unit"/>
    <m/>
    <m/>
    <s v="0000000110 - CXR Canada PC1"/>
    <m/>
    <m/>
    <m/>
    <m/>
    <m/>
    <b v="0"/>
    <s v="Local"/>
    <m/>
    <m/>
    <s v="Payment"/>
    <m/>
    <s v="CT-100020576"/>
    <s v="Abbott-00422"/>
    <s v="LC-100024622"/>
    <s v="AG-100020643"/>
    <m/>
    <s v="0000011010 - Operations Nakisa Canada 1000"/>
    <s v="Lessee"/>
    <m/>
    <m/>
    <m/>
    <s v="1000"/>
    <s v="GAAP - USGAAP"/>
    <s v="Operating"/>
    <s v="IAC0006 - Building"/>
    <s v="UN-100029755"/>
    <s v="2026046331"/>
    <m/>
    <m/>
    <m/>
    <m/>
    <m/>
    <s v="Post"/>
    <s v="Posted"/>
    <s v="Open"/>
    <m/>
    <n v="2026"/>
    <n v="12"/>
    <d v="2025-12-01T00:00:00"/>
    <d v="2025-12-01T00:00:00"/>
    <d v="2025-12-01T00:00:00"/>
    <s v="DG - Customer Credit Memo"/>
    <m/>
    <x v="5"/>
    <x v="5"/>
    <m/>
    <m/>
    <m/>
    <m/>
    <s v="Credit"/>
    <s v="Payment"/>
    <s v="USD - United States Dollar"/>
    <n v="-2466.4499999999998"/>
    <s v="CAD - Canadian Dollar"/>
    <n v="6.92631"/>
    <n v="-17083.400000000001"/>
    <m/>
    <m/>
    <m/>
    <m/>
    <m/>
    <m/>
  </r>
  <r>
    <s v="FINQ8S-300 - FINQ8S-300"/>
    <s v="0001 - Global Lease Area"/>
    <s v="BU0001 - Global Business Unit"/>
    <m/>
    <m/>
    <s v="0000000110 - CXR Canada PC1"/>
    <m/>
    <m/>
    <m/>
    <m/>
    <m/>
    <b v="0"/>
    <s v="Local"/>
    <m/>
    <m/>
    <s v="Payment"/>
    <m/>
    <s v="CT-100020576"/>
    <s v="Abbott-00422"/>
    <s v="LC-100024622"/>
    <s v="AG-100020643"/>
    <m/>
    <s v="0000011010 - Operations Nakisa Canada 1000"/>
    <s v="Lessee"/>
    <m/>
    <m/>
    <m/>
    <s v="1000"/>
    <s v="GAAP - USGAAP"/>
    <s v="Operating"/>
    <s v="IAC0006 - Building"/>
    <s v="UN-100029755"/>
    <s v="2026046331"/>
    <m/>
    <m/>
    <m/>
    <m/>
    <m/>
    <s v="Post"/>
    <s v="Posted"/>
    <s v="Open"/>
    <m/>
    <n v="2026"/>
    <n v="12"/>
    <d v="2025-12-01T00:00:00"/>
    <d v="2025-12-01T00:00:00"/>
    <d v="2025-12-01T00:00:00"/>
    <s v="DG - Customer Credit Memo"/>
    <m/>
    <x v="2"/>
    <x v="2"/>
    <m/>
    <m/>
    <m/>
    <m/>
    <s v="Debit"/>
    <s v="Payment"/>
    <s v="USD - United States Dollar"/>
    <n v="31.91"/>
    <s v="CAD - Canadian Dollar"/>
    <n v="6.92631"/>
    <n v="221.02"/>
    <m/>
    <m/>
    <m/>
    <m/>
    <m/>
    <m/>
  </r>
  <r>
    <s v="FINQ8S-300 - FINQ8S-300"/>
    <s v="0001 - Global Lease Area"/>
    <s v="BU0001 - Global Business Unit"/>
    <m/>
    <m/>
    <s v="0000000110 - CXR Canada PC1"/>
    <m/>
    <m/>
    <m/>
    <m/>
    <m/>
    <b v="0"/>
    <s v="Local"/>
    <m/>
    <m/>
    <s v="Payment"/>
    <m/>
    <s v="CT-100020576"/>
    <s v="Abbott-00422"/>
    <s v="LC-100024622"/>
    <s v="AG-100020643"/>
    <m/>
    <s v="0000011010 - Operations Nakisa Canada 1000"/>
    <s v="Lessee"/>
    <m/>
    <m/>
    <m/>
    <s v="1000"/>
    <s v="GAAP - USGAAP"/>
    <s v="Operating"/>
    <s v="IAC0006 - Building"/>
    <s v="UN-100029755"/>
    <s v="2026046331"/>
    <m/>
    <m/>
    <m/>
    <m/>
    <m/>
    <s v="Post"/>
    <s v="Posted"/>
    <s v="Open"/>
    <m/>
    <n v="2026"/>
    <n v="12"/>
    <d v="2025-12-01T00:00:00"/>
    <d v="2025-12-01T00:00:00"/>
    <d v="2025-12-01T00:00:00"/>
    <s v="DG - Customer Credit Memo"/>
    <m/>
    <x v="6"/>
    <x v="6"/>
    <m/>
    <m/>
    <m/>
    <m/>
    <s v="Debit"/>
    <s v="Payment"/>
    <s v="USD - United States Dollar"/>
    <n v="2434.54"/>
    <s v="CAD - Canadian Dollar"/>
    <n v="6.92631"/>
    <n v="16862.38"/>
    <m/>
    <m/>
    <m/>
    <m/>
    <m/>
    <m/>
  </r>
  <r>
    <s v="FINQ8S-300 - FINQ8S-300"/>
    <s v="0001 - Global Lease Area"/>
    <s v="BU0001 - Global Business Unit"/>
    <m/>
    <m/>
    <s v="0000000110 - CXR Canada PC1"/>
    <m/>
    <m/>
    <m/>
    <m/>
    <m/>
    <b v="0"/>
    <s v="Local"/>
    <m/>
    <m/>
    <s v="Accrual"/>
    <m/>
    <s v="CT-100020576"/>
    <s v="Abbott-00422"/>
    <s v="LC-100024622"/>
    <s v="AG-100020643"/>
    <m/>
    <s v="0000011010 - Operations Nakisa Canada 1000"/>
    <s v="Lessee"/>
    <m/>
    <m/>
    <m/>
    <s v="1000"/>
    <s v="GAAP - USGAAP"/>
    <s v="Operating"/>
    <s v="IAC0006 - Building"/>
    <s v="UN-100029755"/>
    <s v="2026046329"/>
    <m/>
    <m/>
    <m/>
    <m/>
    <m/>
    <s v="Post"/>
    <s v="Posted"/>
    <s v="Open"/>
    <m/>
    <n v="2026"/>
    <n v="12"/>
    <d v="2025-12-31T00:00:00"/>
    <d v="2025-12-31T00:00:00"/>
    <d v="2025-12-31T00:00:00"/>
    <s v="SA - G/L Account Document"/>
    <m/>
    <x v="2"/>
    <x v="2"/>
    <m/>
    <m/>
    <m/>
    <m/>
    <s v="Credit"/>
    <s v="Accrual"/>
    <s v="USD - United States Dollar"/>
    <n v="-29.27"/>
    <s v="CAD - Canadian Dollar"/>
    <n v="6.92631"/>
    <n v="-202.72"/>
    <m/>
    <m/>
    <m/>
    <m/>
    <m/>
    <m/>
  </r>
  <r>
    <s v="FINQ8S-300 - FINQ8S-300"/>
    <s v="0001 - Global Lease Area"/>
    <s v="BU0001 - Global Business Unit"/>
    <m/>
    <s v="0000011010 - Operations Nakisa Canada 1000"/>
    <s v="0000000110 - CXR Canada PC1"/>
    <m/>
    <m/>
    <m/>
    <m/>
    <m/>
    <b v="0"/>
    <s v="Local"/>
    <m/>
    <m/>
    <s v="Accrual"/>
    <m/>
    <s v="CT-100020576"/>
    <s v="Abbott-00422"/>
    <s v="LC-100024622"/>
    <s v="AG-100020643"/>
    <m/>
    <s v="0000011010 - Operations Nakisa Canada 1000"/>
    <s v="Lessee"/>
    <m/>
    <m/>
    <m/>
    <s v="1000"/>
    <s v="GAAP - USGAAP"/>
    <s v="Operating"/>
    <s v="IAC0006 - Building"/>
    <s v="UN-100029755"/>
    <s v="2026046329"/>
    <m/>
    <m/>
    <m/>
    <m/>
    <m/>
    <s v="Post"/>
    <s v="Posted"/>
    <s v="Open"/>
    <m/>
    <n v="2026"/>
    <n v="12"/>
    <d v="2025-12-31T00:00:00"/>
    <d v="2025-12-31T00:00:00"/>
    <d v="2025-12-31T00:00:00"/>
    <s v="SA - G/L Account Document"/>
    <m/>
    <x v="7"/>
    <x v="7"/>
    <m/>
    <m/>
    <m/>
    <m/>
    <s v="Debit"/>
    <s v="Accrual"/>
    <s v="USD - United States Dollar"/>
    <n v="29.27"/>
    <s v="CAD - Canadian Dollar"/>
    <n v="6.92631"/>
    <n v="202.72"/>
    <m/>
    <m/>
    <m/>
    <m/>
    <m/>
    <m/>
  </r>
  <r>
    <s v="FINQ8S-300 - FINQ8S-300"/>
    <s v="0001 - Global Lease Area"/>
    <s v="BU0001 - Global Business Unit"/>
    <m/>
    <m/>
    <s v="0000000110 - CXR Canada PC1"/>
    <m/>
    <m/>
    <m/>
    <m/>
    <m/>
    <b v="0"/>
    <s v="Local"/>
    <m/>
    <m/>
    <s v="Accrual"/>
    <m/>
    <s v="CT-100020576"/>
    <s v="Abbott-00422"/>
    <s v="LC-100024622"/>
    <s v="AG-100020643"/>
    <m/>
    <s v="0000011010 - Operations Nakisa Canada 1000"/>
    <s v="Lessee"/>
    <m/>
    <m/>
    <m/>
    <s v="1000"/>
    <s v="GAAP - USGAAP"/>
    <s v="Operating"/>
    <s v="IAC0006 - Building"/>
    <s v="UN-100029755"/>
    <s v="2026046329"/>
    <m/>
    <m/>
    <m/>
    <m/>
    <m/>
    <s v="Post"/>
    <s v="Posted"/>
    <s v="Open"/>
    <m/>
    <n v="2026"/>
    <n v="12"/>
    <d v="2025-12-31T00:00:00"/>
    <d v="2025-12-31T00:00:00"/>
    <d v="2025-12-31T00:00:00"/>
    <s v="SA - G/L Account Document"/>
    <m/>
    <x v="6"/>
    <x v="6"/>
    <m/>
    <m/>
    <m/>
    <m/>
    <s v="Credit"/>
    <s v="Accrual"/>
    <s v="USD - United States Dollar"/>
    <n v="-29389.56"/>
    <s v="CAD - Canadian Dollar"/>
    <n v="6.92631"/>
    <n v="-203561.21"/>
    <m/>
    <m/>
    <m/>
    <m/>
    <m/>
    <m/>
  </r>
  <r>
    <s v="FINQ8S-300 - FINQ8S-300"/>
    <s v="0001 - Global Lease Area"/>
    <s v="BU0001 - Global Business Unit"/>
    <m/>
    <m/>
    <s v="0000000110 - CXR Canada PC1"/>
    <m/>
    <m/>
    <m/>
    <m/>
    <m/>
    <b v="0"/>
    <s v="Local"/>
    <m/>
    <m/>
    <s v="Accrual"/>
    <m/>
    <s v="CT-100020576"/>
    <s v="Abbott-00422"/>
    <s v="LC-100024622"/>
    <s v="AG-100020643"/>
    <m/>
    <s v="0000011010 - Operations Nakisa Canada 1000"/>
    <s v="Lessee"/>
    <m/>
    <m/>
    <m/>
    <s v="1000"/>
    <s v="GAAP - USGAAP"/>
    <s v="Operating"/>
    <s v="IAC0006 - Building"/>
    <s v="UN-100029755"/>
    <s v="2026046329"/>
    <m/>
    <m/>
    <m/>
    <m/>
    <m/>
    <s v="Post"/>
    <s v="Posted"/>
    <s v="Open"/>
    <m/>
    <n v="2026"/>
    <n v="12"/>
    <d v="2025-12-31T00:00:00"/>
    <d v="2025-12-31T00:00:00"/>
    <d v="2025-12-31T00:00:00"/>
    <s v="SA - G/L Account Document"/>
    <m/>
    <x v="0"/>
    <x v="0"/>
    <m/>
    <m/>
    <m/>
    <m/>
    <s v="Debit"/>
    <s v="Accrual"/>
    <s v="USD - United States Dollar"/>
    <n v="29389.56"/>
    <s v="CAD - Canadian Dollar"/>
    <n v="6.92631"/>
    <n v="203561.21"/>
    <m/>
    <m/>
    <m/>
    <m/>
    <m/>
    <m/>
  </r>
  <r>
    <s v="FINQ8S-300 - FINQ8S-300"/>
    <s v="0001 - Global Lease Area"/>
    <s v="BU0001 - Global Business Unit"/>
    <m/>
    <m/>
    <s v="0000000110 - CXR Canada PC1"/>
    <m/>
    <m/>
    <m/>
    <m/>
    <m/>
    <b v="0"/>
    <s v="Local"/>
    <m/>
    <m/>
    <s v="Depreciation"/>
    <m/>
    <s v="CT-100020576"/>
    <s v="Abbott-00422"/>
    <s v="LC-100024622"/>
    <s v="AG-100020643"/>
    <m/>
    <s v="0000011010 - Operations Nakisa Canada 1000"/>
    <s v="Lessee"/>
    <m/>
    <m/>
    <m/>
    <s v="1000"/>
    <s v="GAAP - USGAAP"/>
    <s v="Operating"/>
    <s v="IAC0006 - Building"/>
    <s v="UN-100029755"/>
    <s v="2026046330"/>
    <m/>
    <m/>
    <m/>
    <m/>
    <m/>
    <s v="Post"/>
    <s v="Posted"/>
    <s v="Open"/>
    <m/>
    <n v="2026"/>
    <n v="12"/>
    <d v="2025-12-31T00:00:00"/>
    <d v="2025-12-31T00:00:00"/>
    <d v="2025-12-31T00:00:00"/>
    <s v="DR - Customer Invoice"/>
    <s v="40 - USGAAP"/>
    <x v="4"/>
    <x v="4"/>
    <m/>
    <m/>
    <m/>
    <m/>
    <s v="Credit"/>
    <s v="Depreciation"/>
    <s v="USD - United States Dollar"/>
    <n v="-2423.44"/>
    <s v="CAD - Canadian Dollar"/>
    <n v="6.9600000409999998"/>
    <n v="-16867.12"/>
    <m/>
    <m/>
    <m/>
    <m/>
    <m/>
    <m/>
  </r>
  <r>
    <s v="FINQ8S-300 - FINQ8S-300"/>
    <s v="0001 - Global Lease Area"/>
    <s v="BU0001 - Global Business Unit"/>
    <m/>
    <s v="0000011010 - Operations Nakisa Canada 1000"/>
    <s v="0000000110 - CXR Canada PC1"/>
    <m/>
    <m/>
    <m/>
    <m/>
    <m/>
    <b v="0"/>
    <s v="Local"/>
    <m/>
    <m/>
    <s v="Depreciation"/>
    <m/>
    <s v="CT-100020576"/>
    <s v="Abbott-00422"/>
    <s v="LC-100024622"/>
    <s v="AG-100020643"/>
    <m/>
    <s v="0000011010 - Operations Nakisa Canada 1000"/>
    <s v="Lessee"/>
    <m/>
    <m/>
    <m/>
    <s v="1000"/>
    <s v="GAAP - USGAAP"/>
    <s v="Operating"/>
    <s v="IAC0006 - Building"/>
    <s v="UN-100029755"/>
    <s v="2026046330"/>
    <m/>
    <m/>
    <m/>
    <m/>
    <m/>
    <s v="Post"/>
    <s v="Posted"/>
    <s v="Open"/>
    <m/>
    <n v="2026"/>
    <n v="12"/>
    <d v="2025-12-31T00:00:00"/>
    <d v="2025-12-31T00:00:00"/>
    <d v="2025-12-31T00:00:00"/>
    <s v="DR - Customer Invoice"/>
    <s v="40 - USGAAP"/>
    <x v="8"/>
    <x v="8"/>
    <m/>
    <m/>
    <m/>
    <m/>
    <s v="Debit"/>
    <s v="Depreciation"/>
    <s v="USD - United States Dollar"/>
    <n v="2423.44"/>
    <s v="CAD - Canadian Dollar"/>
    <n v="6.9600000409999998"/>
    <n v="16867.12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F64DB8-525B-4071-A21F-1CC2319F23F6}" name="PivotTable3" cacheId="2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D12" firstHeaderRow="0" firstDataRow="1" firstDataCol="2"/>
  <pivotFields count="68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7" outline="0" showAll="0" defaultSubtotal="0"/>
    <pivotField compact="0" numFmtId="167" outline="0" showAll="0" defaultSubtotal="0"/>
    <pivotField compact="0" numFmtId="166" outline="0" showAll="0" defaultSubtotal="0"/>
    <pivotField compact="0" numFmtId="166" outline="0" showAll="0" defaultSubtotal="0"/>
    <pivotField compact="0" numFmtId="166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9">
        <item x="4"/>
        <item x="1"/>
        <item x="5"/>
        <item x="3"/>
        <item x="2"/>
        <item x="6"/>
        <item x="0"/>
        <item x="7"/>
        <item x="8"/>
      </items>
    </pivotField>
    <pivotField axis="axisRow" compact="0" outline="0" showAll="0" defaultSubtotal="0">
      <items count="9">
        <item x="1"/>
        <item x="2"/>
        <item x="5"/>
        <item x="8"/>
        <item x="7"/>
        <item x="4"/>
        <item x="0"/>
        <item x="3"/>
        <item x="6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numFmtId="165" outline="0" showAll="0" defaultSubtotal="0"/>
    <pivotField compact="0" outline="0" showAll="0" defaultSubtotal="0"/>
    <pivotField compact="0" numFmtId="169" outline="0" showAll="0" defaultSubtotal="0"/>
    <pivotField dataField="1" compact="0" numFmtId="165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49"/>
    <field x="50"/>
  </rowFields>
  <rowItems count="9">
    <i>
      <x/>
      <x v="5"/>
    </i>
    <i>
      <x v="1"/>
      <x/>
    </i>
    <i>
      <x v="2"/>
      <x v="2"/>
    </i>
    <i>
      <x v="3"/>
      <x v="7"/>
    </i>
    <i>
      <x v="4"/>
      <x v="1"/>
    </i>
    <i>
      <x v="5"/>
      <x v="8"/>
    </i>
    <i>
      <x v="6"/>
      <x v="6"/>
    </i>
    <i>
      <x v="7"/>
      <x v="4"/>
    </i>
    <i>
      <x v="8"/>
      <x v="3"/>
    </i>
  </rowItems>
  <colFields count="1">
    <field x="-2"/>
  </colFields>
  <colItems count="2">
    <i>
      <x/>
    </i>
    <i i="1">
      <x v="1"/>
    </i>
  </colItems>
  <dataFields count="2">
    <dataField name="Sum of Amount in Contract Currency" fld="58" baseField="0" baseItem="0" numFmtId="165"/>
    <dataField name="Sum of Amount in Company Currency" fld="61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1912A-04DC-40F6-9E6F-836BB5DB28BF}">
  <sheetPr filterMode="1"/>
  <dimension ref="A1:BP42"/>
  <sheetViews>
    <sheetView topLeftCell="BC17" workbookViewId="0">
      <selection activeCell="BH27" sqref="BH27"/>
    </sheetView>
  </sheetViews>
  <sheetFormatPr defaultColWidth="8.81640625" defaultRowHeight="14.5" x14ac:dyDescent="0.35"/>
  <cols>
    <col min="1" max="1" width="21.90625" style="26" bestFit="1" customWidth="1"/>
    <col min="2" max="2" width="26.36328125" style="26" bestFit="1" customWidth="1"/>
    <col min="3" max="3" width="26" style="26" bestFit="1" customWidth="1"/>
    <col min="4" max="4" width="23.6328125" style="26" bestFit="1" customWidth="1"/>
    <col min="5" max="5" width="39.36328125" style="26" bestFit="1" customWidth="1"/>
    <col min="6" max="6" width="26.1796875" style="26" bestFit="1" customWidth="1"/>
    <col min="7" max="7" width="34.36328125" style="26" bestFit="1" customWidth="1"/>
    <col min="8" max="8" width="10.1796875" style="26" bestFit="1" customWidth="1"/>
    <col min="9" max="9" width="19.1796875" style="26" bestFit="1" customWidth="1"/>
    <col min="10" max="10" width="21.08984375" style="26" bestFit="1" customWidth="1"/>
    <col min="11" max="11" width="14.08984375" style="26" bestFit="1" customWidth="1"/>
    <col min="12" max="12" width="14.54296875" style="26" bestFit="1" customWidth="1"/>
    <col min="13" max="13" width="12.1796875" style="26" bestFit="1" customWidth="1"/>
    <col min="14" max="14" width="27.81640625" style="26" bestFit="1" customWidth="1"/>
    <col min="15" max="15" width="20.81640625" style="26" bestFit="1" customWidth="1"/>
    <col min="16" max="16" width="22.453125" style="26" bestFit="1" customWidth="1"/>
    <col min="17" max="17" width="28.6328125" style="26" bestFit="1" customWidth="1"/>
    <col min="18" max="18" width="16.6328125" style="26" bestFit="1" customWidth="1"/>
    <col min="19" max="19" width="20.453125" style="26" bestFit="1" customWidth="1"/>
    <col min="20" max="20" width="26" style="26" bestFit="1" customWidth="1"/>
    <col min="21" max="21" width="25.08984375" style="26" bestFit="1" customWidth="1"/>
    <col min="22" max="22" width="33.453125" style="26" bestFit="1" customWidth="1"/>
    <col min="23" max="23" width="39.36328125" style="26" bestFit="1" customWidth="1"/>
    <col min="24" max="24" width="22.6328125" style="26" bestFit="1" customWidth="1"/>
    <col min="25" max="25" width="23.453125" style="26" bestFit="1" customWidth="1"/>
    <col min="26" max="26" width="23.81640625" style="26" bestFit="1" customWidth="1"/>
    <col min="27" max="27" width="23.54296875" style="26" bestFit="1" customWidth="1"/>
    <col min="28" max="28" width="14.81640625" style="26" bestFit="1" customWidth="1"/>
    <col min="29" max="29" width="26.26953125" style="26" bestFit="1" customWidth="1"/>
    <col min="30" max="30" width="24.453125" style="26" bestFit="1" customWidth="1"/>
    <col min="31" max="31" width="24.6328125" style="26" bestFit="1" customWidth="1"/>
    <col min="32" max="32" width="13.08984375" style="26" bestFit="1" customWidth="1"/>
    <col min="33" max="33" width="32.90625" style="26" bestFit="1" customWidth="1"/>
    <col min="34" max="34" width="33.26953125" style="26" bestFit="1" customWidth="1"/>
    <col min="35" max="35" width="41.90625" style="26" bestFit="1" customWidth="1"/>
    <col min="36" max="36" width="42.36328125" style="26" bestFit="1" customWidth="1"/>
    <col min="37" max="37" width="41.26953125" style="26" bestFit="1" customWidth="1"/>
    <col min="38" max="38" width="41.6328125" style="26" bestFit="1" customWidth="1"/>
    <col min="39" max="39" width="18.453125" style="26" bestFit="1" customWidth="1"/>
    <col min="40" max="40" width="20" style="26" bestFit="1" customWidth="1"/>
    <col min="41" max="41" width="20.36328125" style="26" bestFit="1" customWidth="1"/>
    <col min="42" max="42" width="25.81640625" style="26" bestFit="1" customWidth="1"/>
    <col min="43" max="43" width="15.81640625" style="26" bestFit="1" customWidth="1"/>
    <col min="44" max="44" width="17.81640625" style="26" bestFit="1" customWidth="1"/>
    <col min="45" max="45" width="21.90625" style="26" bestFit="1" customWidth="1"/>
    <col min="46" max="46" width="18" style="26" bestFit="1" customWidth="1"/>
    <col min="47" max="47" width="21" style="26" bestFit="1" customWidth="1"/>
    <col min="48" max="48" width="24.6328125" style="26" bestFit="1" customWidth="1"/>
    <col min="49" max="49" width="23.453125" style="26" bestFit="1" customWidth="1"/>
    <col min="50" max="50" width="22.36328125" style="26" bestFit="1" customWidth="1"/>
    <col min="51" max="51" width="21.36328125" style="26" bestFit="1" customWidth="1"/>
    <col min="52" max="52" width="15.54296875" style="26" bestFit="1" customWidth="1"/>
    <col min="53" max="53" width="19.36328125" style="26" bestFit="1" customWidth="1"/>
    <col min="54" max="54" width="23.6328125" style="26" bestFit="1" customWidth="1"/>
    <col min="55" max="55" width="27.453125" style="26" bestFit="1" customWidth="1"/>
    <col min="56" max="56" width="22.453125" style="26" bestFit="1" customWidth="1"/>
    <col min="57" max="57" width="16.6328125" style="26" bestFit="1" customWidth="1"/>
    <col min="58" max="58" width="23.453125" style="26" bestFit="1" customWidth="1"/>
    <col min="59" max="59" width="34.6328125" style="26" bestFit="1" customWidth="1"/>
    <col min="60" max="60" width="24.26953125" style="26" bestFit="1" customWidth="1"/>
    <col min="61" max="61" width="39.54296875" style="26" bestFit="1" customWidth="1"/>
    <col min="62" max="62" width="35.453125" style="26" bestFit="1" customWidth="1"/>
    <col min="63" max="63" width="22.90625" style="26" bestFit="1" customWidth="1"/>
    <col min="64" max="64" width="38.1796875" style="26" bestFit="1" customWidth="1"/>
    <col min="65" max="65" width="34.08984375" style="26" bestFit="1" customWidth="1"/>
    <col min="66" max="66" width="22.90625" style="26" bestFit="1" customWidth="1"/>
    <col min="67" max="67" width="38.1796875" style="26" bestFit="1" customWidth="1"/>
    <col min="68" max="68" width="34.08984375" style="26" bestFit="1" customWidth="1"/>
    <col min="69" max="16384" width="8.81640625" style="26"/>
  </cols>
  <sheetData>
    <row r="1" spans="1:6" ht="23.5" x14ac:dyDescent="0.35">
      <c r="A1" s="48" t="s">
        <v>41</v>
      </c>
      <c r="B1" s="46"/>
      <c r="C1" s="46"/>
      <c r="D1" s="46"/>
      <c r="E1" s="46"/>
      <c r="F1" s="46"/>
    </row>
    <row r="2" spans="1:6" ht="21" x14ac:dyDescent="0.35">
      <c r="A2" s="49" t="s">
        <v>42</v>
      </c>
      <c r="B2" s="46"/>
      <c r="C2" s="46"/>
      <c r="D2" s="46"/>
      <c r="E2" s="46"/>
      <c r="F2" s="46"/>
    </row>
    <row r="3" spans="1:6" ht="17" x14ac:dyDescent="0.35">
      <c r="A3" s="50" t="s">
        <v>43</v>
      </c>
      <c r="B3" s="46"/>
      <c r="C3" s="50" t="s">
        <v>44</v>
      </c>
      <c r="D3" s="46"/>
      <c r="E3" s="50" t="s">
        <v>45</v>
      </c>
      <c r="F3" s="46"/>
    </row>
    <row r="4" spans="1:6" x14ac:dyDescent="0.35">
      <c r="A4" s="28" t="s">
        <v>46</v>
      </c>
      <c r="B4" s="29" t="s">
        <v>47</v>
      </c>
      <c r="C4" s="28" t="s">
        <v>48</v>
      </c>
      <c r="D4" s="29" t="s">
        <v>49</v>
      </c>
      <c r="E4" s="28" t="s">
        <v>50</v>
      </c>
      <c r="F4" s="29" t="s">
        <v>51</v>
      </c>
    </row>
    <row r="5" spans="1:6" x14ac:dyDescent="0.35">
      <c r="A5" s="28" t="s">
        <v>52</v>
      </c>
      <c r="B5" s="29" t="s">
        <v>53</v>
      </c>
      <c r="C5" s="28" t="s">
        <v>54</v>
      </c>
      <c r="D5" s="30">
        <v>45992</v>
      </c>
      <c r="E5" s="28" t="s">
        <v>55</v>
      </c>
      <c r="F5" s="31">
        <v>10000096</v>
      </c>
    </row>
    <row r="6" spans="1:6" x14ac:dyDescent="0.35">
      <c r="A6" s="45" t="s">
        <v>56</v>
      </c>
      <c r="B6" s="47" t="s">
        <v>57</v>
      </c>
      <c r="C6" s="28" t="s">
        <v>58</v>
      </c>
      <c r="D6" s="30">
        <v>46022</v>
      </c>
      <c r="E6" s="28" t="s">
        <v>59</v>
      </c>
      <c r="F6" s="29" t="s">
        <v>60</v>
      </c>
    </row>
    <row r="7" spans="1:6" x14ac:dyDescent="0.35">
      <c r="A7" s="46"/>
      <c r="B7" s="46"/>
      <c r="C7" s="28" t="s">
        <v>61</v>
      </c>
      <c r="D7" s="29" t="s">
        <v>62</v>
      </c>
      <c r="E7" s="28" t="s">
        <v>63</v>
      </c>
      <c r="F7" s="32">
        <v>46077.851769479166</v>
      </c>
    </row>
    <row r="8" spans="1:6" x14ac:dyDescent="0.35">
      <c r="A8" s="46"/>
      <c r="B8" s="46"/>
      <c r="C8" s="28" t="s">
        <v>64</v>
      </c>
      <c r="D8" s="29" t="s">
        <v>65</v>
      </c>
      <c r="E8" s="28" t="s">
        <v>66</v>
      </c>
      <c r="F8" s="33">
        <v>15</v>
      </c>
    </row>
    <row r="9" spans="1:6" x14ac:dyDescent="0.35">
      <c r="A9" s="46"/>
      <c r="B9" s="46"/>
      <c r="C9" s="28" t="s">
        <v>67</v>
      </c>
      <c r="D9" s="29"/>
    </row>
    <row r="10" spans="1:6" x14ac:dyDescent="0.35">
      <c r="A10" s="46"/>
      <c r="B10" s="46"/>
      <c r="C10" s="28" t="s">
        <v>68</v>
      </c>
      <c r="D10" s="29"/>
    </row>
    <row r="11" spans="1:6" x14ac:dyDescent="0.35">
      <c r="A11" s="46"/>
      <c r="B11" s="46"/>
      <c r="C11" s="28" t="s">
        <v>69</v>
      </c>
      <c r="D11" s="29"/>
    </row>
    <row r="12" spans="1:6" x14ac:dyDescent="0.35">
      <c r="C12" s="28" t="s">
        <v>70</v>
      </c>
      <c r="D12" s="29"/>
    </row>
    <row r="13" spans="1:6" x14ac:dyDescent="0.35">
      <c r="C13" s="28" t="s">
        <v>71</v>
      </c>
      <c r="D13" s="29"/>
    </row>
    <row r="14" spans="1:6" x14ac:dyDescent="0.35">
      <c r="C14" s="28" t="s">
        <v>72</v>
      </c>
      <c r="D14" s="29"/>
    </row>
    <row r="15" spans="1:6" x14ac:dyDescent="0.35">
      <c r="C15" s="28" t="s">
        <v>73</v>
      </c>
      <c r="D15" s="29"/>
    </row>
    <row r="16" spans="1:6" x14ac:dyDescent="0.35">
      <c r="C16" s="28" t="s">
        <v>74</v>
      </c>
      <c r="D16" s="29"/>
    </row>
    <row r="17" spans="1:68" x14ac:dyDescent="0.35">
      <c r="C17" s="28" t="s">
        <v>75</v>
      </c>
      <c r="D17" s="29"/>
    </row>
    <row r="27" spans="1:68" ht="27.5" customHeight="1" x14ac:dyDescent="0.35">
      <c r="A27" s="27" t="s">
        <v>76</v>
      </c>
      <c r="B27" s="27" t="s">
        <v>77</v>
      </c>
      <c r="C27" s="27" t="s">
        <v>78</v>
      </c>
      <c r="D27" s="27" t="s">
        <v>79</v>
      </c>
      <c r="E27" s="27" t="s">
        <v>80</v>
      </c>
      <c r="F27" s="27" t="s">
        <v>81</v>
      </c>
      <c r="G27" s="27" t="s">
        <v>82</v>
      </c>
      <c r="H27" s="27" t="s">
        <v>83</v>
      </c>
      <c r="I27" s="27" t="s">
        <v>84</v>
      </c>
      <c r="J27" s="27" t="s">
        <v>85</v>
      </c>
      <c r="K27" s="27" t="s">
        <v>86</v>
      </c>
      <c r="L27" s="27" t="s">
        <v>87</v>
      </c>
      <c r="M27" s="27" t="s">
        <v>88</v>
      </c>
      <c r="N27" s="27" t="s">
        <v>89</v>
      </c>
      <c r="O27" s="27" t="s">
        <v>90</v>
      </c>
      <c r="P27" s="27" t="s">
        <v>91</v>
      </c>
      <c r="Q27" s="27" t="s">
        <v>92</v>
      </c>
      <c r="R27" s="27" t="s">
        <v>93</v>
      </c>
      <c r="S27" s="27" t="s">
        <v>94</v>
      </c>
      <c r="T27" s="27" t="s">
        <v>95</v>
      </c>
      <c r="U27" s="27" t="s">
        <v>53</v>
      </c>
      <c r="V27" s="27" t="s">
        <v>96</v>
      </c>
      <c r="W27" s="27" t="s">
        <v>97</v>
      </c>
      <c r="X27" s="27" t="s">
        <v>98</v>
      </c>
      <c r="Y27" s="27" t="s">
        <v>99</v>
      </c>
      <c r="Z27" s="27" t="s">
        <v>100</v>
      </c>
      <c r="AA27" s="27" t="s">
        <v>101</v>
      </c>
      <c r="AB27" s="27" t="s">
        <v>102</v>
      </c>
      <c r="AC27" s="27" t="s">
        <v>103</v>
      </c>
      <c r="AD27" s="27" t="s">
        <v>104</v>
      </c>
      <c r="AE27" s="27" t="s">
        <v>70</v>
      </c>
      <c r="AF27" s="27" t="s">
        <v>105</v>
      </c>
      <c r="AG27" s="27" t="s">
        <v>106</v>
      </c>
      <c r="AH27" s="27" t="s">
        <v>107</v>
      </c>
      <c r="AI27" s="27" t="s">
        <v>108</v>
      </c>
      <c r="AJ27" s="27" t="s">
        <v>109</v>
      </c>
      <c r="AK27" s="27" t="s">
        <v>110</v>
      </c>
      <c r="AL27" s="27" t="s">
        <v>111</v>
      </c>
      <c r="AM27" s="27" t="s">
        <v>112</v>
      </c>
      <c r="AN27" s="27" t="s">
        <v>113</v>
      </c>
      <c r="AO27" s="27" t="s">
        <v>73</v>
      </c>
      <c r="AP27" s="27" t="s">
        <v>114</v>
      </c>
      <c r="AQ27" s="27" t="s">
        <v>115</v>
      </c>
      <c r="AR27" s="27" t="s">
        <v>116</v>
      </c>
      <c r="AS27" s="27" t="s">
        <v>117</v>
      </c>
      <c r="AT27" s="27" t="s">
        <v>49</v>
      </c>
      <c r="AU27" s="27" t="s">
        <v>118</v>
      </c>
      <c r="AV27" s="27" t="s">
        <v>119</v>
      </c>
      <c r="AW27" s="27" t="s">
        <v>120</v>
      </c>
      <c r="AX27" s="27" t="s">
        <v>121</v>
      </c>
      <c r="AY27" s="27" t="s">
        <v>9</v>
      </c>
      <c r="AZ27" s="27" t="s">
        <v>122</v>
      </c>
      <c r="BA27" s="27" t="s">
        <v>123</v>
      </c>
      <c r="BB27" s="27" t="s">
        <v>124</v>
      </c>
      <c r="BC27" s="27" t="s">
        <v>125</v>
      </c>
      <c r="BD27" s="27" t="s">
        <v>126</v>
      </c>
      <c r="BE27" s="27" t="s">
        <v>127</v>
      </c>
      <c r="BF27" s="27" t="s">
        <v>0</v>
      </c>
      <c r="BG27" s="27" t="s">
        <v>128</v>
      </c>
      <c r="BH27" s="27" t="s">
        <v>129</v>
      </c>
      <c r="BI27" s="27" t="s">
        <v>130</v>
      </c>
      <c r="BJ27" s="27" t="s">
        <v>131</v>
      </c>
      <c r="BK27" s="27" t="s">
        <v>132</v>
      </c>
      <c r="BL27" s="27" t="s">
        <v>133</v>
      </c>
      <c r="BM27" s="27" t="s">
        <v>134</v>
      </c>
      <c r="BN27" s="27" t="s">
        <v>135</v>
      </c>
      <c r="BO27" s="27" t="s">
        <v>136</v>
      </c>
      <c r="BP27" s="27" t="s">
        <v>137</v>
      </c>
    </row>
    <row r="28" spans="1:68" hidden="1" x14ac:dyDescent="0.35">
      <c r="A28" s="29" t="s">
        <v>138</v>
      </c>
      <c r="B28" s="29" t="s">
        <v>139</v>
      </c>
      <c r="C28" s="29" t="s">
        <v>140</v>
      </c>
      <c r="D28" s="29"/>
      <c r="E28" s="29"/>
      <c r="F28" s="29" t="s">
        <v>141</v>
      </c>
      <c r="G28" s="29"/>
      <c r="H28" s="29"/>
      <c r="I28" s="29"/>
      <c r="J28" s="29"/>
      <c r="K28" s="29"/>
      <c r="L28" s="29" t="b">
        <v>0</v>
      </c>
      <c r="M28" s="29" t="s">
        <v>142</v>
      </c>
      <c r="N28" s="29"/>
      <c r="O28" s="29"/>
      <c r="P28" s="29" t="s">
        <v>29</v>
      </c>
      <c r="Q28" s="29"/>
      <c r="R28" s="29" t="s">
        <v>143</v>
      </c>
      <c r="S28" s="29" t="s">
        <v>144</v>
      </c>
      <c r="T28" s="29" t="s">
        <v>145</v>
      </c>
      <c r="U28" s="29" t="s">
        <v>57</v>
      </c>
      <c r="V28" s="29"/>
      <c r="W28" s="29" t="s">
        <v>146</v>
      </c>
      <c r="X28" s="29" t="s">
        <v>147</v>
      </c>
      <c r="Y28" s="29"/>
      <c r="Z28" s="29"/>
      <c r="AA28" s="29"/>
      <c r="AB28" s="29" t="s">
        <v>148</v>
      </c>
      <c r="AC28" s="29" t="s">
        <v>149</v>
      </c>
      <c r="AD28" s="29" t="s">
        <v>150</v>
      </c>
      <c r="AE28" s="29" t="s">
        <v>151</v>
      </c>
      <c r="AF28" s="29" t="s">
        <v>152</v>
      </c>
      <c r="AG28" s="29" t="s">
        <v>153</v>
      </c>
      <c r="AH28" s="29"/>
      <c r="AI28" s="29"/>
      <c r="AJ28" s="29"/>
      <c r="AK28" s="29"/>
      <c r="AL28" s="29"/>
      <c r="AM28" s="29" t="s">
        <v>154</v>
      </c>
      <c r="AN28" s="29" t="s">
        <v>155</v>
      </c>
      <c r="AO28" s="29" t="s">
        <v>156</v>
      </c>
      <c r="AP28" s="29"/>
      <c r="AQ28" s="31">
        <v>2026</v>
      </c>
      <c r="AR28" s="31">
        <v>12</v>
      </c>
      <c r="AS28" s="30">
        <v>45992</v>
      </c>
      <c r="AT28" s="30">
        <v>45992</v>
      </c>
      <c r="AU28" s="30">
        <v>45992</v>
      </c>
      <c r="AV28" s="29" t="s">
        <v>157</v>
      </c>
      <c r="AW28" s="29"/>
      <c r="AX28" s="29" t="s">
        <v>38</v>
      </c>
      <c r="AY28" s="29" t="s">
        <v>39</v>
      </c>
      <c r="AZ28" s="29"/>
      <c r="BA28" s="29"/>
      <c r="BB28" s="29"/>
      <c r="BC28" s="29"/>
      <c r="BD28" s="29" t="s">
        <v>158</v>
      </c>
      <c r="BE28" s="29" t="s">
        <v>159</v>
      </c>
      <c r="BF28" s="29" t="s">
        <v>160</v>
      </c>
      <c r="BG28" s="34">
        <v>-29389.56</v>
      </c>
      <c r="BH28" s="29" t="s">
        <v>161</v>
      </c>
      <c r="BI28" s="35">
        <v>6.92631</v>
      </c>
      <c r="BJ28" s="34">
        <v>-203561.21</v>
      </c>
      <c r="BK28" s="29"/>
      <c r="BL28" s="35"/>
      <c r="BM28" s="34"/>
      <c r="BN28" s="29"/>
      <c r="BO28" s="35"/>
      <c r="BP28" s="34"/>
    </row>
    <row r="29" spans="1:68" hidden="1" x14ac:dyDescent="0.35">
      <c r="A29" s="29" t="s">
        <v>138</v>
      </c>
      <c r="B29" s="29" t="s">
        <v>139</v>
      </c>
      <c r="C29" s="29" t="s">
        <v>140</v>
      </c>
      <c r="D29" s="29"/>
      <c r="E29" s="29"/>
      <c r="F29" s="29" t="s">
        <v>141</v>
      </c>
      <c r="G29" s="29"/>
      <c r="H29" s="29"/>
      <c r="I29" s="29"/>
      <c r="J29" s="29"/>
      <c r="K29" s="29"/>
      <c r="L29" s="29" t="b">
        <v>0</v>
      </c>
      <c r="M29" s="29" t="s">
        <v>142</v>
      </c>
      <c r="N29" s="29"/>
      <c r="O29" s="29"/>
      <c r="P29" s="29" t="s">
        <v>29</v>
      </c>
      <c r="Q29" s="29"/>
      <c r="R29" s="29" t="s">
        <v>143</v>
      </c>
      <c r="S29" s="29" t="s">
        <v>144</v>
      </c>
      <c r="T29" s="29" t="s">
        <v>145</v>
      </c>
      <c r="U29" s="29" t="s">
        <v>57</v>
      </c>
      <c r="V29" s="29"/>
      <c r="W29" s="29" t="s">
        <v>146</v>
      </c>
      <c r="X29" s="29" t="s">
        <v>147</v>
      </c>
      <c r="Y29" s="29"/>
      <c r="Z29" s="29"/>
      <c r="AA29" s="29"/>
      <c r="AB29" s="29" t="s">
        <v>148</v>
      </c>
      <c r="AC29" s="29" t="s">
        <v>149</v>
      </c>
      <c r="AD29" s="29" t="s">
        <v>150</v>
      </c>
      <c r="AE29" s="29" t="s">
        <v>151</v>
      </c>
      <c r="AF29" s="29" t="s">
        <v>152</v>
      </c>
      <c r="AG29" s="29" t="s">
        <v>153</v>
      </c>
      <c r="AH29" s="29"/>
      <c r="AI29" s="29"/>
      <c r="AJ29" s="29"/>
      <c r="AK29" s="29"/>
      <c r="AL29" s="29"/>
      <c r="AM29" s="29" t="s">
        <v>154</v>
      </c>
      <c r="AN29" s="29" t="s">
        <v>155</v>
      </c>
      <c r="AO29" s="29" t="s">
        <v>156</v>
      </c>
      <c r="AP29" s="29"/>
      <c r="AQ29" s="31">
        <v>2026</v>
      </c>
      <c r="AR29" s="31">
        <v>12</v>
      </c>
      <c r="AS29" s="30">
        <v>45992</v>
      </c>
      <c r="AT29" s="30">
        <v>45992</v>
      </c>
      <c r="AU29" s="30">
        <v>45992</v>
      </c>
      <c r="AV29" s="29" t="s">
        <v>157</v>
      </c>
      <c r="AW29" s="29"/>
      <c r="AX29" s="29" t="s">
        <v>24</v>
      </c>
      <c r="AY29" s="29" t="s">
        <v>25</v>
      </c>
      <c r="AZ29" s="29"/>
      <c r="BA29" s="29"/>
      <c r="BB29" s="29"/>
      <c r="BC29" s="29"/>
      <c r="BD29" s="29" t="s">
        <v>162</v>
      </c>
      <c r="BE29" s="29" t="s">
        <v>159</v>
      </c>
      <c r="BF29" s="29" t="s">
        <v>160</v>
      </c>
      <c r="BG29" s="34">
        <v>29421.47</v>
      </c>
      <c r="BH29" s="29" t="s">
        <v>161</v>
      </c>
      <c r="BI29" s="35">
        <v>6.92631</v>
      </c>
      <c r="BJ29" s="34">
        <v>203782.23</v>
      </c>
      <c r="BK29" s="29"/>
      <c r="BL29" s="35"/>
      <c r="BM29" s="34"/>
      <c r="BN29" s="29"/>
      <c r="BO29" s="35"/>
      <c r="BP29" s="34"/>
    </row>
    <row r="30" spans="1:68" hidden="1" x14ac:dyDescent="0.35">
      <c r="A30" s="29" t="s">
        <v>138</v>
      </c>
      <c r="B30" s="29" t="s">
        <v>139</v>
      </c>
      <c r="C30" s="29" t="s">
        <v>140</v>
      </c>
      <c r="D30" s="29"/>
      <c r="E30" s="29"/>
      <c r="F30" s="29" t="s">
        <v>141</v>
      </c>
      <c r="G30" s="29"/>
      <c r="H30" s="29"/>
      <c r="I30" s="29"/>
      <c r="J30" s="29"/>
      <c r="K30" s="29"/>
      <c r="L30" s="29" t="b">
        <v>0</v>
      </c>
      <c r="M30" s="29" t="s">
        <v>142</v>
      </c>
      <c r="N30" s="29"/>
      <c r="O30" s="29"/>
      <c r="P30" s="29" t="s">
        <v>29</v>
      </c>
      <c r="Q30" s="29"/>
      <c r="R30" s="29" t="s">
        <v>143</v>
      </c>
      <c r="S30" s="29" t="s">
        <v>144</v>
      </c>
      <c r="T30" s="29" t="s">
        <v>145</v>
      </c>
      <c r="U30" s="29" t="s">
        <v>57</v>
      </c>
      <c r="V30" s="29"/>
      <c r="W30" s="29" t="s">
        <v>146</v>
      </c>
      <c r="X30" s="29" t="s">
        <v>147</v>
      </c>
      <c r="Y30" s="29"/>
      <c r="Z30" s="29"/>
      <c r="AA30" s="29"/>
      <c r="AB30" s="29" t="s">
        <v>148</v>
      </c>
      <c r="AC30" s="29" t="s">
        <v>149</v>
      </c>
      <c r="AD30" s="29" t="s">
        <v>150</v>
      </c>
      <c r="AE30" s="29" t="s">
        <v>151</v>
      </c>
      <c r="AF30" s="29" t="s">
        <v>152</v>
      </c>
      <c r="AG30" s="29" t="s">
        <v>153</v>
      </c>
      <c r="AH30" s="29"/>
      <c r="AI30" s="29"/>
      <c r="AJ30" s="29"/>
      <c r="AK30" s="29"/>
      <c r="AL30" s="29"/>
      <c r="AM30" s="29" t="s">
        <v>154</v>
      </c>
      <c r="AN30" s="29" t="s">
        <v>155</v>
      </c>
      <c r="AO30" s="29" t="s">
        <v>156</v>
      </c>
      <c r="AP30" s="29"/>
      <c r="AQ30" s="31">
        <v>2026</v>
      </c>
      <c r="AR30" s="31">
        <v>12</v>
      </c>
      <c r="AS30" s="30">
        <v>45992</v>
      </c>
      <c r="AT30" s="30">
        <v>45992</v>
      </c>
      <c r="AU30" s="30">
        <v>45992</v>
      </c>
      <c r="AV30" s="29" t="s">
        <v>157</v>
      </c>
      <c r="AW30" s="29"/>
      <c r="AX30" s="29" t="s">
        <v>34</v>
      </c>
      <c r="AY30" s="29" t="s">
        <v>35</v>
      </c>
      <c r="AZ30" s="29"/>
      <c r="BA30" s="29"/>
      <c r="BB30" s="29"/>
      <c r="BC30" s="29"/>
      <c r="BD30" s="29" t="s">
        <v>158</v>
      </c>
      <c r="BE30" s="29" t="s">
        <v>159</v>
      </c>
      <c r="BF30" s="29" t="s">
        <v>160</v>
      </c>
      <c r="BG30" s="34">
        <v>-31.91</v>
      </c>
      <c r="BH30" s="29" t="s">
        <v>161</v>
      </c>
      <c r="BI30" s="35">
        <v>6.92631</v>
      </c>
      <c r="BJ30" s="34">
        <v>-221.02</v>
      </c>
      <c r="BK30" s="29"/>
      <c r="BL30" s="35"/>
      <c r="BM30" s="34"/>
      <c r="BN30" s="29"/>
      <c r="BO30" s="35"/>
      <c r="BP30" s="34"/>
    </row>
    <row r="31" spans="1:68" hidden="1" x14ac:dyDescent="0.35">
      <c r="A31" s="29" t="s">
        <v>138</v>
      </c>
      <c r="B31" s="29" t="s">
        <v>139</v>
      </c>
      <c r="C31" s="29" t="s">
        <v>140</v>
      </c>
      <c r="D31" s="29"/>
      <c r="E31" s="29"/>
      <c r="F31" s="29" t="s">
        <v>141</v>
      </c>
      <c r="G31" s="29"/>
      <c r="H31" s="29"/>
      <c r="I31" s="29"/>
      <c r="J31" s="29"/>
      <c r="K31" s="29"/>
      <c r="L31" s="29" t="b">
        <v>0</v>
      </c>
      <c r="M31" s="29" t="s">
        <v>142</v>
      </c>
      <c r="N31" s="29"/>
      <c r="O31" s="29"/>
      <c r="P31" s="29" t="s">
        <v>163</v>
      </c>
      <c r="Q31" s="29"/>
      <c r="R31" s="29" t="s">
        <v>143</v>
      </c>
      <c r="S31" s="29" t="s">
        <v>144</v>
      </c>
      <c r="T31" s="29" t="s">
        <v>145</v>
      </c>
      <c r="U31" s="29" t="s">
        <v>57</v>
      </c>
      <c r="V31" s="29"/>
      <c r="W31" s="29" t="s">
        <v>146</v>
      </c>
      <c r="X31" s="29" t="s">
        <v>147</v>
      </c>
      <c r="Y31" s="29"/>
      <c r="Z31" s="29"/>
      <c r="AA31" s="29"/>
      <c r="AB31" s="29" t="s">
        <v>148</v>
      </c>
      <c r="AC31" s="29" t="s">
        <v>149</v>
      </c>
      <c r="AD31" s="29" t="s">
        <v>150</v>
      </c>
      <c r="AE31" s="29" t="s">
        <v>151</v>
      </c>
      <c r="AF31" s="29" t="s">
        <v>152</v>
      </c>
      <c r="AG31" s="29" t="s">
        <v>164</v>
      </c>
      <c r="AH31" s="29"/>
      <c r="AI31" s="29"/>
      <c r="AJ31" s="29"/>
      <c r="AK31" s="29"/>
      <c r="AL31" s="29"/>
      <c r="AM31" s="29" t="s">
        <v>154</v>
      </c>
      <c r="AN31" s="29" t="s">
        <v>155</v>
      </c>
      <c r="AO31" s="29" t="s">
        <v>156</v>
      </c>
      <c r="AP31" s="29"/>
      <c r="AQ31" s="31">
        <v>2026</v>
      </c>
      <c r="AR31" s="31">
        <v>12</v>
      </c>
      <c r="AS31" s="30">
        <v>45992</v>
      </c>
      <c r="AT31" s="30">
        <v>45992</v>
      </c>
      <c r="AU31" s="30">
        <v>45992</v>
      </c>
      <c r="AV31" s="29" t="s">
        <v>165</v>
      </c>
      <c r="AW31" s="29"/>
      <c r="AX31" s="29" t="s">
        <v>32</v>
      </c>
      <c r="AY31" s="29" t="s">
        <v>33</v>
      </c>
      <c r="AZ31" s="29"/>
      <c r="BA31" s="29"/>
      <c r="BB31" s="29"/>
      <c r="BC31" s="29"/>
      <c r="BD31" s="29" t="s">
        <v>162</v>
      </c>
      <c r="BE31" s="29" t="s">
        <v>159</v>
      </c>
      <c r="BF31" s="29" t="s">
        <v>160</v>
      </c>
      <c r="BG31" s="34">
        <v>140238.31</v>
      </c>
      <c r="BH31" s="29" t="s">
        <v>161</v>
      </c>
      <c r="BI31" s="35">
        <v>6.9600000409999998</v>
      </c>
      <c r="BJ31" s="34">
        <v>976058.64</v>
      </c>
      <c r="BK31" s="29"/>
      <c r="BL31" s="35"/>
      <c r="BM31" s="34"/>
      <c r="BN31" s="29"/>
      <c r="BO31" s="35"/>
      <c r="BP31" s="34"/>
    </row>
    <row r="32" spans="1:68" x14ac:dyDescent="0.35">
      <c r="A32" s="29" t="s">
        <v>138</v>
      </c>
      <c r="B32" s="29" t="s">
        <v>139</v>
      </c>
      <c r="C32" s="29" t="s">
        <v>140</v>
      </c>
      <c r="D32" s="29"/>
      <c r="E32" s="29"/>
      <c r="F32" s="29" t="s">
        <v>141</v>
      </c>
      <c r="G32" s="29"/>
      <c r="H32" s="29"/>
      <c r="I32" s="29"/>
      <c r="J32" s="29"/>
      <c r="K32" s="29"/>
      <c r="L32" s="29" t="b">
        <v>0</v>
      </c>
      <c r="M32" s="29" t="s">
        <v>142</v>
      </c>
      <c r="N32" s="29"/>
      <c r="O32" s="29"/>
      <c r="P32" s="29" t="s">
        <v>163</v>
      </c>
      <c r="Q32" s="29"/>
      <c r="R32" s="29" t="s">
        <v>143</v>
      </c>
      <c r="S32" s="29" t="s">
        <v>144</v>
      </c>
      <c r="T32" s="29" t="s">
        <v>145</v>
      </c>
      <c r="U32" s="29" t="s">
        <v>57</v>
      </c>
      <c r="V32" s="29"/>
      <c r="W32" s="29" t="s">
        <v>146</v>
      </c>
      <c r="X32" s="29" t="s">
        <v>147</v>
      </c>
      <c r="Y32" s="29"/>
      <c r="Z32" s="29"/>
      <c r="AA32" s="29"/>
      <c r="AB32" s="29" t="s">
        <v>148</v>
      </c>
      <c r="AC32" s="29" t="s">
        <v>149</v>
      </c>
      <c r="AD32" s="29" t="s">
        <v>150</v>
      </c>
      <c r="AE32" s="29" t="s">
        <v>151</v>
      </c>
      <c r="AF32" s="29" t="s">
        <v>152</v>
      </c>
      <c r="AG32" s="29" t="s">
        <v>164</v>
      </c>
      <c r="AH32" s="29"/>
      <c r="AI32" s="29"/>
      <c r="AJ32" s="29"/>
      <c r="AK32" s="29"/>
      <c r="AL32" s="29"/>
      <c r="AM32" s="29" t="s">
        <v>154</v>
      </c>
      <c r="AN32" s="29" t="s">
        <v>155</v>
      </c>
      <c r="AO32" s="29" t="s">
        <v>156</v>
      </c>
      <c r="AP32" s="29"/>
      <c r="AQ32" s="31">
        <v>2026</v>
      </c>
      <c r="AR32" s="31">
        <v>12</v>
      </c>
      <c r="AS32" s="30">
        <v>45992</v>
      </c>
      <c r="AT32" s="30">
        <v>45992</v>
      </c>
      <c r="AU32" s="30">
        <v>45992</v>
      </c>
      <c r="AV32" s="29" t="s">
        <v>165</v>
      </c>
      <c r="AW32" s="29"/>
      <c r="AX32" s="29" t="s">
        <v>19</v>
      </c>
      <c r="AY32" s="29" t="s">
        <v>20</v>
      </c>
      <c r="AZ32" s="29"/>
      <c r="BA32" s="29"/>
      <c r="BB32" s="29"/>
      <c r="BC32" s="29"/>
      <c r="BD32" s="29" t="s">
        <v>158</v>
      </c>
      <c r="BE32" s="29" t="s">
        <v>159</v>
      </c>
      <c r="BF32" s="29" t="s">
        <v>160</v>
      </c>
      <c r="BG32" s="34">
        <v>-110981.78</v>
      </c>
      <c r="BH32" s="29" t="s">
        <v>161</v>
      </c>
      <c r="BI32" s="35">
        <v>6.9600000409999998</v>
      </c>
      <c r="BJ32" s="34">
        <v>-772433.19</v>
      </c>
      <c r="BK32" s="29"/>
      <c r="BL32" s="35"/>
      <c r="BM32" s="34"/>
      <c r="BN32" s="29"/>
      <c r="BO32" s="35"/>
      <c r="BP32" s="34"/>
    </row>
    <row r="33" spans="1:68" hidden="1" x14ac:dyDescent="0.35">
      <c r="A33" s="29" t="s">
        <v>138</v>
      </c>
      <c r="B33" s="29" t="s">
        <v>139</v>
      </c>
      <c r="C33" s="29" t="s">
        <v>140</v>
      </c>
      <c r="D33" s="29"/>
      <c r="E33" s="29"/>
      <c r="F33" s="29" t="s">
        <v>141</v>
      </c>
      <c r="G33" s="29"/>
      <c r="H33" s="29"/>
      <c r="I33" s="29"/>
      <c r="J33" s="29"/>
      <c r="K33" s="29"/>
      <c r="L33" s="29" t="b">
        <v>0</v>
      </c>
      <c r="M33" s="29" t="s">
        <v>142</v>
      </c>
      <c r="N33" s="29"/>
      <c r="O33" s="29"/>
      <c r="P33" s="29" t="s">
        <v>163</v>
      </c>
      <c r="Q33" s="29"/>
      <c r="R33" s="29" t="s">
        <v>143</v>
      </c>
      <c r="S33" s="29" t="s">
        <v>144</v>
      </c>
      <c r="T33" s="29" t="s">
        <v>145</v>
      </c>
      <c r="U33" s="29" t="s">
        <v>57</v>
      </c>
      <c r="V33" s="29"/>
      <c r="W33" s="29" t="s">
        <v>146</v>
      </c>
      <c r="X33" s="29" t="s">
        <v>147</v>
      </c>
      <c r="Y33" s="29"/>
      <c r="Z33" s="29"/>
      <c r="AA33" s="29"/>
      <c r="AB33" s="29" t="s">
        <v>148</v>
      </c>
      <c r="AC33" s="29" t="s">
        <v>149</v>
      </c>
      <c r="AD33" s="29" t="s">
        <v>150</v>
      </c>
      <c r="AE33" s="29" t="s">
        <v>151</v>
      </c>
      <c r="AF33" s="29" t="s">
        <v>152</v>
      </c>
      <c r="AG33" s="29" t="s">
        <v>164</v>
      </c>
      <c r="AH33" s="29"/>
      <c r="AI33" s="29"/>
      <c r="AJ33" s="29"/>
      <c r="AK33" s="29"/>
      <c r="AL33" s="29"/>
      <c r="AM33" s="29" t="s">
        <v>154</v>
      </c>
      <c r="AN33" s="29" t="s">
        <v>155</v>
      </c>
      <c r="AO33" s="29" t="s">
        <v>156</v>
      </c>
      <c r="AP33" s="29"/>
      <c r="AQ33" s="31">
        <v>2026</v>
      </c>
      <c r="AR33" s="31">
        <v>12</v>
      </c>
      <c r="AS33" s="30">
        <v>45992</v>
      </c>
      <c r="AT33" s="30">
        <v>45992</v>
      </c>
      <c r="AU33" s="30">
        <v>45992</v>
      </c>
      <c r="AV33" s="29" t="s">
        <v>165</v>
      </c>
      <c r="AW33" s="29"/>
      <c r="AX33" s="29" t="s">
        <v>24</v>
      </c>
      <c r="AY33" s="29" t="s">
        <v>25</v>
      </c>
      <c r="AZ33" s="29"/>
      <c r="BA33" s="29"/>
      <c r="BB33" s="29"/>
      <c r="BC33" s="29"/>
      <c r="BD33" s="29" t="s">
        <v>158</v>
      </c>
      <c r="BE33" s="29" t="s">
        <v>159</v>
      </c>
      <c r="BF33" s="29" t="s">
        <v>160</v>
      </c>
      <c r="BG33" s="34">
        <v>-29256.53</v>
      </c>
      <c r="BH33" s="29" t="s">
        <v>161</v>
      </c>
      <c r="BI33" s="35">
        <v>6.9600000409999998</v>
      </c>
      <c r="BJ33" s="34">
        <v>-203625.45</v>
      </c>
      <c r="BK33" s="29"/>
      <c r="BL33" s="35"/>
      <c r="BM33" s="34"/>
      <c r="BN33" s="29"/>
      <c r="BO33" s="35"/>
      <c r="BP33" s="34"/>
    </row>
    <row r="34" spans="1:68" hidden="1" x14ac:dyDescent="0.35">
      <c r="A34" s="29" t="s">
        <v>138</v>
      </c>
      <c r="B34" s="29" t="s">
        <v>139</v>
      </c>
      <c r="C34" s="29" t="s">
        <v>140</v>
      </c>
      <c r="D34" s="29"/>
      <c r="E34" s="29"/>
      <c r="F34" s="29" t="s">
        <v>141</v>
      </c>
      <c r="G34" s="29"/>
      <c r="H34" s="29"/>
      <c r="I34" s="29"/>
      <c r="J34" s="29"/>
      <c r="K34" s="29"/>
      <c r="L34" s="29" t="b">
        <v>0</v>
      </c>
      <c r="M34" s="29" t="s">
        <v>142</v>
      </c>
      <c r="N34" s="29"/>
      <c r="O34" s="29"/>
      <c r="P34" s="29" t="s">
        <v>166</v>
      </c>
      <c r="Q34" s="29"/>
      <c r="R34" s="29" t="s">
        <v>143</v>
      </c>
      <c r="S34" s="29" t="s">
        <v>144</v>
      </c>
      <c r="T34" s="29" t="s">
        <v>145</v>
      </c>
      <c r="U34" s="29" t="s">
        <v>57</v>
      </c>
      <c r="V34" s="29"/>
      <c r="W34" s="29" t="s">
        <v>146</v>
      </c>
      <c r="X34" s="29" t="s">
        <v>147</v>
      </c>
      <c r="Y34" s="29"/>
      <c r="Z34" s="29"/>
      <c r="AA34" s="29"/>
      <c r="AB34" s="29" t="s">
        <v>148</v>
      </c>
      <c r="AC34" s="29" t="s">
        <v>149</v>
      </c>
      <c r="AD34" s="29" t="s">
        <v>150</v>
      </c>
      <c r="AE34" s="29" t="s">
        <v>151</v>
      </c>
      <c r="AF34" s="29" t="s">
        <v>152</v>
      </c>
      <c r="AG34" s="29" t="s">
        <v>167</v>
      </c>
      <c r="AH34" s="29"/>
      <c r="AI34" s="29"/>
      <c r="AJ34" s="29"/>
      <c r="AK34" s="29"/>
      <c r="AL34" s="29"/>
      <c r="AM34" s="29" t="s">
        <v>154</v>
      </c>
      <c r="AN34" s="29" t="s">
        <v>155</v>
      </c>
      <c r="AO34" s="29" t="s">
        <v>156</v>
      </c>
      <c r="AP34" s="29"/>
      <c r="AQ34" s="31">
        <v>2026</v>
      </c>
      <c r="AR34" s="31">
        <v>12</v>
      </c>
      <c r="AS34" s="30">
        <v>45992</v>
      </c>
      <c r="AT34" s="30">
        <v>45992</v>
      </c>
      <c r="AU34" s="30">
        <v>45992</v>
      </c>
      <c r="AV34" s="29" t="s">
        <v>168</v>
      </c>
      <c r="AW34" s="29"/>
      <c r="AX34" s="29" t="s">
        <v>27</v>
      </c>
      <c r="AY34" s="29" t="s">
        <v>28</v>
      </c>
      <c r="AZ34" s="29"/>
      <c r="BA34" s="29"/>
      <c r="BB34" s="29"/>
      <c r="BC34" s="29"/>
      <c r="BD34" s="29" t="s">
        <v>158</v>
      </c>
      <c r="BE34" s="29" t="s">
        <v>166</v>
      </c>
      <c r="BF34" s="29" t="s">
        <v>160</v>
      </c>
      <c r="BG34" s="34">
        <v>-2466.4499999999998</v>
      </c>
      <c r="BH34" s="29" t="s">
        <v>161</v>
      </c>
      <c r="BI34" s="35">
        <v>6.92631</v>
      </c>
      <c r="BJ34" s="34">
        <v>-17083.400000000001</v>
      </c>
      <c r="BK34" s="29"/>
      <c r="BL34" s="35"/>
      <c r="BM34" s="34"/>
      <c r="BN34" s="29"/>
      <c r="BO34" s="35"/>
      <c r="BP34" s="34"/>
    </row>
    <row r="35" spans="1:68" hidden="1" x14ac:dyDescent="0.35">
      <c r="A35" s="29" t="s">
        <v>138</v>
      </c>
      <c r="B35" s="29" t="s">
        <v>139</v>
      </c>
      <c r="C35" s="29" t="s">
        <v>140</v>
      </c>
      <c r="D35" s="29"/>
      <c r="E35" s="29"/>
      <c r="F35" s="29" t="s">
        <v>141</v>
      </c>
      <c r="G35" s="29"/>
      <c r="H35" s="29"/>
      <c r="I35" s="29"/>
      <c r="J35" s="29"/>
      <c r="K35" s="29"/>
      <c r="L35" s="29" t="b">
        <v>0</v>
      </c>
      <c r="M35" s="29" t="s">
        <v>142</v>
      </c>
      <c r="N35" s="29"/>
      <c r="O35" s="29"/>
      <c r="P35" s="29" t="s">
        <v>166</v>
      </c>
      <c r="Q35" s="29"/>
      <c r="R35" s="29" t="s">
        <v>143</v>
      </c>
      <c r="S35" s="29" t="s">
        <v>144</v>
      </c>
      <c r="T35" s="29" t="s">
        <v>145</v>
      </c>
      <c r="U35" s="29" t="s">
        <v>57</v>
      </c>
      <c r="V35" s="29"/>
      <c r="W35" s="29" t="s">
        <v>146</v>
      </c>
      <c r="X35" s="29" t="s">
        <v>147</v>
      </c>
      <c r="Y35" s="29"/>
      <c r="Z35" s="29"/>
      <c r="AA35" s="29"/>
      <c r="AB35" s="29" t="s">
        <v>148</v>
      </c>
      <c r="AC35" s="29" t="s">
        <v>149</v>
      </c>
      <c r="AD35" s="29" t="s">
        <v>150</v>
      </c>
      <c r="AE35" s="29" t="s">
        <v>151</v>
      </c>
      <c r="AF35" s="29" t="s">
        <v>152</v>
      </c>
      <c r="AG35" s="29" t="s">
        <v>167</v>
      </c>
      <c r="AH35" s="29"/>
      <c r="AI35" s="29"/>
      <c r="AJ35" s="29"/>
      <c r="AK35" s="29"/>
      <c r="AL35" s="29"/>
      <c r="AM35" s="29" t="s">
        <v>154</v>
      </c>
      <c r="AN35" s="29" t="s">
        <v>155</v>
      </c>
      <c r="AO35" s="29" t="s">
        <v>156</v>
      </c>
      <c r="AP35" s="29"/>
      <c r="AQ35" s="31">
        <v>2026</v>
      </c>
      <c r="AR35" s="31">
        <v>12</v>
      </c>
      <c r="AS35" s="30">
        <v>45992</v>
      </c>
      <c r="AT35" s="30">
        <v>45992</v>
      </c>
      <c r="AU35" s="30">
        <v>45992</v>
      </c>
      <c r="AV35" s="29" t="s">
        <v>168</v>
      </c>
      <c r="AW35" s="29"/>
      <c r="AX35" s="29" t="s">
        <v>34</v>
      </c>
      <c r="AY35" s="29" t="s">
        <v>35</v>
      </c>
      <c r="AZ35" s="29"/>
      <c r="BA35" s="29"/>
      <c r="BB35" s="29"/>
      <c r="BC35" s="29"/>
      <c r="BD35" s="29" t="s">
        <v>162</v>
      </c>
      <c r="BE35" s="29" t="s">
        <v>166</v>
      </c>
      <c r="BF35" s="29" t="s">
        <v>160</v>
      </c>
      <c r="BG35" s="34">
        <v>31.91</v>
      </c>
      <c r="BH35" s="29" t="s">
        <v>161</v>
      </c>
      <c r="BI35" s="35">
        <v>6.92631</v>
      </c>
      <c r="BJ35" s="34">
        <v>221.02</v>
      </c>
      <c r="BK35" s="29"/>
      <c r="BL35" s="35"/>
      <c r="BM35" s="34"/>
      <c r="BN35" s="29"/>
      <c r="BO35" s="35"/>
      <c r="BP35" s="34"/>
    </row>
    <row r="36" spans="1:68" hidden="1" x14ac:dyDescent="0.35">
      <c r="A36" s="29" t="s">
        <v>138</v>
      </c>
      <c r="B36" s="29" t="s">
        <v>139</v>
      </c>
      <c r="C36" s="29" t="s">
        <v>140</v>
      </c>
      <c r="D36" s="29"/>
      <c r="E36" s="29"/>
      <c r="F36" s="29" t="s">
        <v>141</v>
      </c>
      <c r="G36" s="29"/>
      <c r="H36" s="29"/>
      <c r="I36" s="29"/>
      <c r="J36" s="29"/>
      <c r="K36" s="29"/>
      <c r="L36" s="29" t="b">
        <v>0</v>
      </c>
      <c r="M36" s="29" t="s">
        <v>142</v>
      </c>
      <c r="N36" s="29"/>
      <c r="O36" s="29"/>
      <c r="P36" s="29" t="s">
        <v>166</v>
      </c>
      <c r="Q36" s="29"/>
      <c r="R36" s="29" t="s">
        <v>143</v>
      </c>
      <c r="S36" s="29" t="s">
        <v>144</v>
      </c>
      <c r="T36" s="29" t="s">
        <v>145</v>
      </c>
      <c r="U36" s="29" t="s">
        <v>57</v>
      </c>
      <c r="V36" s="29"/>
      <c r="W36" s="29" t="s">
        <v>146</v>
      </c>
      <c r="X36" s="29" t="s">
        <v>147</v>
      </c>
      <c r="Y36" s="29"/>
      <c r="Z36" s="29"/>
      <c r="AA36" s="29"/>
      <c r="AB36" s="29" t="s">
        <v>148</v>
      </c>
      <c r="AC36" s="29" t="s">
        <v>149</v>
      </c>
      <c r="AD36" s="29" t="s">
        <v>150</v>
      </c>
      <c r="AE36" s="29" t="s">
        <v>151</v>
      </c>
      <c r="AF36" s="29" t="s">
        <v>152</v>
      </c>
      <c r="AG36" s="29" t="s">
        <v>167</v>
      </c>
      <c r="AH36" s="29"/>
      <c r="AI36" s="29"/>
      <c r="AJ36" s="29"/>
      <c r="AK36" s="29"/>
      <c r="AL36" s="29"/>
      <c r="AM36" s="29" t="s">
        <v>154</v>
      </c>
      <c r="AN36" s="29" t="s">
        <v>155</v>
      </c>
      <c r="AO36" s="29" t="s">
        <v>156</v>
      </c>
      <c r="AP36" s="29"/>
      <c r="AQ36" s="31">
        <v>2026</v>
      </c>
      <c r="AR36" s="31">
        <v>12</v>
      </c>
      <c r="AS36" s="30">
        <v>45992</v>
      </c>
      <c r="AT36" s="30">
        <v>45992</v>
      </c>
      <c r="AU36" s="30">
        <v>45992</v>
      </c>
      <c r="AV36" s="29" t="s">
        <v>168</v>
      </c>
      <c r="AW36" s="29"/>
      <c r="AX36" s="29" t="s">
        <v>36</v>
      </c>
      <c r="AY36" s="29" t="s">
        <v>37</v>
      </c>
      <c r="AZ36" s="29"/>
      <c r="BA36" s="29"/>
      <c r="BB36" s="29"/>
      <c r="BC36" s="29"/>
      <c r="BD36" s="29" t="s">
        <v>162</v>
      </c>
      <c r="BE36" s="29" t="s">
        <v>166</v>
      </c>
      <c r="BF36" s="29" t="s">
        <v>160</v>
      </c>
      <c r="BG36" s="34">
        <v>2434.54</v>
      </c>
      <c r="BH36" s="29" t="s">
        <v>161</v>
      </c>
      <c r="BI36" s="35">
        <v>6.92631</v>
      </c>
      <c r="BJ36" s="34">
        <v>16862.38</v>
      </c>
      <c r="BK36" s="29"/>
      <c r="BL36" s="35"/>
      <c r="BM36" s="34"/>
      <c r="BN36" s="29"/>
      <c r="BO36" s="35"/>
      <c r="BP36" s="34"/>
    </row>
    <row r="37" spans="1:68" hidden="1" x14ac:dyDescent="0.35">
      <c r="A37" s="29" t="s">
        <v>138</v>
      </c>
      <c r="B37" s="29" t="s">
        <v>139</v>
      </c>
      <c r="C37" s="29" t="s">
        <v>140</v>
      </c>
      <c r="D37" s="29"/>
      <c r="E37" s="29"/>
      <c r="F37" s="29" t="s">
        <v>141</v>
      </c>
      <c r="G37" s="29"/>
      <c r="H37" s="29"/>
      <c r="I37" s="29"/>
      <c r="J37" s="29"/>
      <c r="K37" s="29"/>
      <c r="L37" s="29" t="b">
        <v>0</v>
      </c>
      <c r="M37" s="29" t="s">
        <v>142</v>
      </c>
      <c r="N37" s="29"/>
      <c r="O37" s="29"/>
      <c r="P37" s="29" t="s">
        <v>169</v>
      </c>
      <c r="Q37" s="29"/>
      <c r="R37" s="29" t="s">
        <v>143</v>
      </c>
      <c r="S37" s="29" t="s">
        <v>144</v>
      </c>
      <c r="T37" s="29" t="s">
        <v>145</v>
      </c>
      <c r="U37" s="29" t="s">
        <v>57</v>
      </c>
      <c r="V37" s="29"/>
      <c r="W37" s="29" t="s">
        <v>146</v>
      </c>
      <c r="X37" s="29" t="s">
        <v>147</v>
      </c>
      <c r="Y37" s="29"/>
      <c r="Z37" s="29"/>
      <c r="AA37" s="29"/>
      <c r="AB37" s="29" t="s">
        <v>148</v>
      </c>
      <c r="AC37" s="29" t="s">
        <v>149</v>
      </c>
      <c r="AD37" s="29" t="s">
        <v>150</v>
      </c>
      <c r="AE37" s="29" t="s">
        <v>151</v>
      </c>
      <c r="AF37" s="29" t="s">
        <v>152</v>
      </c>
      <c r="AG37" s="29" t="s">
        <v>170</v>
      </c>
      <c r="AH37" s="29"/>
      <c r="AI37" s="29"/>
      <c r="AJ37" s="29"/>
      <c r="AK37" s="29"/>
      <c r="AL37" s="29"/>
      <c r="AM37" s="29" t="s">
        <v>154</v>
      </c>
      <c r="AN37" s="29" t="s">
        <v>155</v>
      </c>
      <c r="AO37" s="29" t="s">
        <v>156</v>
      </c>
      <c r="AP37" s="29"/>
      <c r="AQ37" s="31">
        <v>2026</v>
      </c>
      <c r="AR37" s="31">
        <v>12</v>
      </c>
      <c r="AS37" s="30">
        <v>46022</v>
      </c>
      <c r="AT37" s="30">
        <v>46022</v>
      </c>
      <c r="AU37" s="30">
        <v>46022</v>
      </c>
      <c r="AV37" s="29" t="s">
        <v>157</v>
      </c>
      <c r="AW37" s="29"/>
      <c r="AX37" s="29" t="s">
        <v>34</v>
      </c>
      <c r="AY37" s="29" t="s">
        <v>35</v>
      </c>
      <c r="AZ37" s="29"/>
      <c r="BA37" s="29"/>
      <c r="BB37" s="29"/>
      <c r="BC37" s="29"/>
      <c r="BD37" s="29" t="s">
        <v>158</v>
      </c>
      <c r="BE37" s="29" t="s">
        <v>169</v>
      </c>
      <c r="BF37" s="29" t="s">
        <v>160</v>
      </c>
      <c r="BG37" s="34">
        <v>-29.27</v>
      </c>
      <c r="BH37" s="29" t="s">
        <v>161</v>
      </c>
      <c r="BI37" s="35">
        <v>6.92631</v>
      </c>
      <c r="BJ37" s="34">
        <v>-202.72</v>
      </c>
      <c r="BK37" s="29"/>
      <c r="BL37" s="35"/>
      <c r="BM37" s="34"/>
      <c r="BN37" s="29"/>
      <c r="BO37" s="35"/>
      <c r="BP37" s="34"/>
    </row>
    <row r="38" spans="1:68" hidden="1" x14ac:dyDescent="0.35">
      <c r="A38" s="29" t="s">
        <v>138</v>
      </c>
      <c r="B38" s="29" t="s">
        <v>139</v>
      </c>
      <c r="C38" s="29" t="s">
        <v>140</v>
      </c>
      <c r="D38" s="29"/>
      <c r="E38" s="29" t="s">
        <v>146</v>
      </c>
      <c r="F38" s="29" t="s">
        <v>141</v>
      </c>
      <c r="G38" s="29"/>
      <c r="H38" s="29"/>
      <c r="I38" s="29"/>
      <c r="J38" s="29"/>
      <c r="K38" s="29"/>
      <c r="L38" s="29" t="b">
        <v>0</v>
      </c>
      <c r="M38" s="29" t="s">
        <v>142</v>
      </c>
      <c r="N38" s="29"/>
      <c r="O38" s="29"/>
      <c r="P38" s="29" t="s">
        <v>169</v>
      </c>
      <c r="Q38" s="29"/>
      <c r="R38" s="29" t="s">
        <v>143</v>
      </c>
      <c r="S38" s="29" t="s">
        <v>144</v>
      </c>
      <c r="T38" s="29" t="s">
        <v>145</v>
      </c>
      <c r="U38" s="29" t="s">
        <v>57</v>
      </c>
      <c r="V38" s="29"/>
      <c r="W38" s="29" t="s">
        <v>146</v>
      </c>
      <c r="X38" s="29" t="s">
        <v>147</v>
      </c>
      <c r="Y38" s="29"/>
      <c r="Z38" s="29"/>
      <c r="AA38" s="29"/>
      <c r="AB38" s="29" t="s">
        <v>148</v>
      </c>
      <c r="AC38" s="29" t="s">
        <v>149</v>
      </c>
      <c r="AD38" s="29" t="s">
        <v>150</v>
      </c>
      <c r="AE38" s="29" t="s">
        <v>151</v>
      </c>
      <c r="AF38" s="29" t="s">
        <v>152</v>
      </c>
      <c r="AG38" s="29" t="s">
        <v>170</v>
      </c>
      <c r="AH38" s="29"/>
      <c r="AI38" s="29"/>
      <c r="AJ38" s="29"/>
      <c r="AK38" s="29"/>
      <c r="AL38" s="29"/>
      <c r="AM38" s="29" t="s">
        <v>154</v>
      </c>
      <c r="AN38" s="29" t="s">
        <v>155</v>
      </c>
      <c r="AO38" s="29" t="s">
        <v>156</v>
      </c>
      <c r="AP38" s="29"/>
      <c r="AQ38" s="31">
        <v>2026</v>
      </c>
      <c r="AR38" s="31">
        <v>12</v>
      </c>
      <c r="AS38" s="30">
        <v>46022</v>
      </c>
      <c r="AT38" s="30">
        <v>46022</v>
      </c>
      <c r="AU38" s="30">
        <v>46022</v>
      </c>
      <c r="AV38" s="29" t="s">
        <v>157</v>
      </c>
      <c r="AW38" s="29"/>
      <c r="AX38" s="29" t="s">
        <v>171</v>
      </c>
      <c r="AY38" s="29" t="s">
        <v>172</v>
      </c>
      <c r="AZ38" s="29"/>
      <c r="BA38" s="29"/>
      <c r="BB38" s="29"/>
      <c r="BC38" s="29"/>
      <c r="BD38" s="29" t="s">
        <v>162</v>
      </c>
      <c r="BE38" s="29" t="s">
        <v>169</v>
      </c>
      <c r="BF38" s="29" t="s">
        <v>160</v>
      </c>
      <c r="BG38" s="34">
        <v>29.27</v>
      </c>
      <c r="BH38" s="29" t="s">
        <v>161</v>
      </c>
      <c r="BI38" s="35">
        <v>6.92631</v>
      </c>
      <c r="BJ38" s="34">
        <v>202.72</v>
      </c>
      <c r="BK38" s="29"/>
      <c r="BL38" s="35"/>
      <c r="BM38" s="34"/>
      <c r="BN38" s="29"/>
      <c r="BO38" s="35"/>
      <c r="BP38" s="34"/>
    </row>
    <row r="39" spans="1:68" hidden="1" x14ac:dyDescent="0.35">
      <c r="A39" s="29" t="s">
        <v>138</v>
      </c>
      <c r="B39" s="29" t="s">
        <v>139</v>
      </c>
      <c r="C39" s="29" t="s">
        <v>140</v>
      </c>
      <c r="D39" s="29"/>
      <c r="E39" s="29"/>
      <c r="F39" s="29" t="s">
        <v>141</v>
      </c>
      <c r="G39" s="29"/>
      <c r="H39" s="29"/>
      <c r="I39" s="29"/>
      <c r="J39" s="29"/>
      <c r="K39" s="29"/>
      <c r="L39" s="29" t="b">
        <v>0</v>
      </c>
      <c r="M39" s="29" t="s">
        <v>142</v>
      </c>
      <c r="N39" s="29"/>
      <c r="O39" s="29"/>
      <c r="P39" s="29" t="s">
        <v>169</v>
      </c>
      <c r="Q39" s="29"/>
      <c r="R39" s="29" t="s">
        <v>143</v>
      </c>
      <c r="S39" s="29" t="s">
        <v>144</v>
      </c>
      <c r="T39" s="29" t="s">
        <v>145</v>
      </c>
      <c r="U39" s="29" t="s">
        <v>57</v>
      </c>
      <c r="V39" s="29"/>
      <c r="W39" s="29" t="s">
        <v>146</v>
      </c>
      <c r="X39" s="29" t="s">
        <v>147</v>
      </c>
      <c r="Y39" s="29"/>
      <c r="Z39" s="29"/>
      <c r="AA39" s="29"/>
      <c r="AB39" s="29" t="s">
        <v>148</v>
      </c>
      <c r="AC39" s="29" t="s">
        <v>149</v>
      </c>
      <c r="AD39" s="29" t="s">
        <v>150</v>
      </c>
      <c r="AE39" s="29" t="s">
        <v>151</v>
      </c>
      <c r="AF39" s="29" t="s">
        <v>152</v>
      </c>
      <c r="AG39" s="29" t="s">
        <v>170</v>
      </c>
      <c r="AH39" s="29"/>
      <c r="AI39" s="29"/>
      <c r="AJ39" s="29"/>
      <c r="AK39" s="29"/>
      <c r="AL39" s="29"/>
      <c r="AM39" s="29" t="s">
        <v>154</v>
      </c>
      <c r="AN39" s="29" t="s">
        <v>155</v>
      </c>
      <c r="AO39" s="29" t="s">
        <v>156</v>
      </c>
      <c r="AP39" s="29"/>
      <c r="AQ39" s="31">
        <v>2026</v>
      </c>
      <c r="AR39" s="31">
        <v>12</v>
      </c>
      <c r="AS39" s="30">
        <v>46022</v>
      </c>
      <c r="AT39" s="30">
        <v>46022</v>
      </c>
      <c r="AU39" s="30">
        <v>46022</v>
      </c>
      <c r="AV39" s="29" t="s">
        <v>157</v>
      </c>
      <c r="AW39" s="29"/>
      <c r="AX39" s="29" t="s">
        <v>36</v>
      </c>
      <c r="AY39" s="29" t="s">
        <v>37</v>
      </c>
      <c r="AZ39" s="29"/>
      <c r="BA39" s="29"/>
      <c r="BB39" s="29"/>
      <c r="BC39" s="29"/>
      <c r="BD39" s="29" t="s">
        <v>158</v>
      </c>
      <c r="BE39" s="29" t="s">
        <v>169</v>
      </c>
      <c r="BF39" s="29" t="s">
        <v>160</v>
      </c>
      <c r="BG39" s="34">
        <v>-29389.56</v>
      </c>
      <c r="BH39" s="29" t="s">
        <v>161</v>
      </c>
      <c r="BI39" s="35">
        <v>6.92631</v>
      </c>
      <c r="BJ39" s="34">
        <v>-203561.21</v>
      </c>
      <c r="BK39" s="29"/>
      <c r="BL39" s="35"/>
      <c r="BM39" s="34"/>
      <c r="BN39" s="29"/>
      <c r="BO39" s="35"/>
      <c r="BP39" s="34"/>
    </row>
    <row r="40" spans="1:68" hidden="1" x14ac:dyDescent="0.35">
      <c r="A40" s="29" t="s">
        <v>138</v>
      </c>
      <c r="B40" s="29" t="s">
        <v>139</v>
      </c>
      <c r="C40" s="29" t="s">
        <v>140</v>
      </c>
      <c r="D40" s="29"/>
      <c r="E40" s="29"/>
      <c r="F40" s="29" t="s">
        <v>141</v>
      </c>
      <c r="G40" s="29"/>
      <c r="H40" s="29"/>
      <c r="I40" s="29"/>
      <c r="J40" s="29"/>
      <c r="K40" s="29"/>
      <c r="L40" s="29" t="b">
        <v>0</v>
      </c>
      <c r="M40" s="29" t="s">
        <v>142</v>
      </c>
      <c r="N40" s="29"/>
      <c r="O40" s="29"/>
      <c r="P40" s="29" t="s">
        <v>169</v>
      </c>
      <c r="Q40" s="29"/>
      <c r="R40" s="29" t="s">
        <v>143</v>
      </c>
      <c r="S40" s="29" t="s">
        <v>144</v>
      </c>
      <c r="T40" s="29" t="s">
        <v>145</v>
      </c>
      <c r="U40" s="29" t="s">
        <v>57</v>
      </c>
      <c r="V40" s="29"/>
      <c r="W40" s="29" t="s">
        <v>146</v>
      </c>
      <c r="X40" s="29" t="s">
        <v>147</v>
      </c>
      <c r="Y40" s="29"/>
      <c r="Z40" s="29"/>
      <c r="AA40" s="29"/>
      <c r="AB40" s="29" t="s">
        <v>148</v>
      </c>
      <c r="AC40" s="29" t="s">
        <v>149</v>
      </c>
      <c r="AD40" s="29" t="s">
        <v>150</v>
      </c>
      <c r="AE40" s="29" t="s">
        <v>151</v>
      </c>
      <c r="AF40" s="29" t="s">
        <v>152</v>
      </c>
      <c r="AG40" s="29" t="s">
        <v>170</v>
      </c>
      <c r="AH40" s="29"/>
      <c r="AI40" s="29"/>
      <c r="AJ40" s="29"/>
      <c r="AK40" s="29"/>
      <c r="AL40" s="29"/>
      <c r="AM40" s="29" t="s">
        <v>154</v>
      </c>
      <c r="AN40" s="29" t="s">
        <v>155</v>
      </c>
      <c r="AO40" s="29" t="s">
        <v>156</v>
      </c>
      <c r="AP40" s="29"/>
      <c r="AQ40" s="31">
        <v>2026</v>
      </c>
      <c r="AR40" s="31">
        <v>12</v>
      </c>
      <c r="AS40" s="30">
        <v>46022</v>
      </c>
      <c r="AT40" s="30">
        <v>46022</v>
      </c>
      <c r="AU40" s="30">
        <v>46022</v>
      </c>
      <c r="AV40" s="29" t="s">
        <v>157</v>
      </c>
      <c r="AW40" s="29"/>
      <c r="AX40" s="29" t="s">
        <v>38</v>
      </c>
      <c r="AY40" s="29" t="s">
        <v>39</v>
      </c>
      <c r="AZ40" s="29"/>
      <c r="BA40" s="29"/>
      <c r="BB40" s="29"/>
      <c r="BC40" s="29"/>
      <c r="BD40" s="29" t="s">
        <v>162</v>
      </c>
      <c r="BE40" s="29" t="s">
        <v>169</v>
      </c>
      <c r="BF40" s="29" t="s">
        <v>160</v>
      </c>
      <c r="BG40" s="34">
        <v>29389.56</v>
      </c>
      <c r="BH40" s="29" t="s">
        <v>161</v>
      </c>
      <c r="BI40" s="35">
        <v>6.92631</v>
      </c>
      <c r="BJ40" s="34">
        <v>203561.21</v>
      </c>
      <c r="BK40" s="29"/>
      <c r="BL40" s="35"/>
      <c r="BM40" s="34"/>
      <c r="BN40" s="29"/>
      <c r="BO40" s="35"/>
      <c r="BP40" s="34"/>
    </row>
    <row r="41" spans="1:68" x14ac:dyDescent="0.35">
      <c r="A41" s="29" t="s">
        <v>138</v>
      </c>
      <c r="B41" s="29" t="s">
        <v>139</v>
      </c>
      <c r="C41" s="29" t="s">
        <v>140</v>
      </c>
      <c r="D41" s="29"/>
      <c r="E41" s="29"/>
      <c r="F41" s="29" t="s">
        <v>141</v>
      </c>
      <c r="G41" s="29"/>
      <c r="H41" s="29"/>
      <c r="I41" s="29"/>
      <c r="J41" s="29"/>
      <c r="K41" s="29"/>
      <c r="L41" s="29" t="b">
        <v>0</v>
      </c>
      <c r="M41" s="29" t="s">
        <v>142</v>
      </c>
      <c r="N41" s="29"/>
      <c r="O41" s="29"/>
      <c r="P41" s="29" t="s">
        <v>173</v>
      </c>
      <c r="Q41" s="29"/>
      <c r="R41" s="29" t="s">
        <v>143</v>
      </c>
      <c r="S41" s="29" t="s">
        <v>144</v>
      </c>
      <c r="T41" s="29" t="s">
        <v>145</v>
      </c>
      <c r="U41" s="29" t="s">
        <v>57</v>
      </c>
      <c r="V41" s="29"/>
      <c r="W41" s="29" t="s">
        <v>146</v>
      </c>
      <c r="X41" s="29" t="s">
        <v>147</v>
      </c>
      <c r="Y41" s="29"/>
      <c r="Z41" s="29"/>
      <c r="AA41" s="29"/>
      <c r="AB41" s="29" t="s">
        <v>148</v>
      </c>
      <c r="AC41" s="29" t="s">
        <v>149</v>
      </c>
      <c r="AD41" s="29" t="s">
        <v>150</v>
      </c>
      <c r="AE41" s="29" t="s">
        <v>151</v>
      </c>
      <c r="AF41" s="29" t="s">
        <v>152</v>
      </c>
      <c r="AG41" s="29" t="s">
        <v>174</v>
      </c>
      <c r="AH41" s="29"/>
      <c r="AI41" s="29"/>
      <c r="AJ41" s="29"/>
      <c r="AK41" s="29"/>
      <c r="AL41" s="29"/>
      <c r="AM41" s="29" t="s">
        <v>154</v>
      </c>
      <c r="AN41" s="29" t="s">
        <v>155</v>
      </c>
      <c r="AO41" s="29" t="s">
        <v>156</v>
      </c>
      <c r="AP41" s="29"/>
      <c r="AQ41" s="31">
        <v>2026</v>
      </c>
      <c r="AR41" s="31">
        <v>12</v>
      </c>
      <c r="AS41" s="30">
        <v>46022</v>
      </c>
      <c r="AT41" s="30">
        <v>46022</v>
      </c>
      <c r="AU41" s="30">
        <v>46022</v>
      </c>
      <c r="AV41" s="29" t="s">
        <v>165</v>
      </c>
      <c r="AW41" s="29" t="s">
        <v>175</v>
      </c>
      <c r="AX41" s="29" t="s">
        <v>19</v>
      </c>
      <c r="AY41" s="29" t="s">
        <v>20</v>
      </c>
      <c r="AZ41" s="29"/>
      <c r="BA41" s="29"/>
      <c r="BB41" s="29"/>
      <c r="BC41" s="29"/>
      <c r="BD41" s="29" t="s">
        <v>158</v>
      </c>
      <c r="BE41" s="29" t="s">
        <v>173</v>
      </c>
      <c r="BF41" s="29" t="s">
        <v>160</v>
      </c>
      <c r="BG41" s="34">
        <v>-2423.44</v>
      </c>
      <c r="BH41" s="29" t="s">
        <v>161</v>
      </c>
      <c r="BI41" s="35">
        <v>6.9600000409999998</v>
      </c>
      <c r="BJ41" s="34">
        <v>-16867.12</v>
      </c>
      <c r="BK41" s="29"/>
      <c r="BL41" s="35"/>
      <c r="BM41" s="34"/>
      <c r="BN41" s="29"/>
      <c r="BO41" s="35"/>
      <c r="BP41" s="34"/>
    </row>
    <row r="42" spans="1:68" hidden="1" x14ac:dyDescent="0.35">
      <c r="A42" s="29" t="s">
        <v>138</v>
      </c>
      <c r="B42" s="29" t="s">
        <v>139</v>
      </c>
      <c r="C42" s="29" t="s">
        <v>140</v>
      </c>
      <c r="D42" s="29"/>
      <c r="E42" s="29" t="s">
        <v>146</v>
      </c>
      <c r="F42" s="29" t="s">
        <v>141</v>
      </c>
      <c r="G42" s="29"/>
      <c r="H42" s="29"/>
      <c r="I42" s="29"/>
      <c r="J42" s="29"/>
      <c r="K42" s="29"/>
      <c r="L42" s="29" t="b">
        <v>0</v>
      </c>
      <c r="M42" s="29" t="s">
        <v>142</v>
      </c>
      <c r="N42" s="29"/>
      <c r="O42" s="29"/>
      <c r="P42" s="29" t="s">
        <v>173</v>
      </c>
      <c r="Q42" s="29"/>
      <c r="R42" s="29" t="s">
        <v>143</v>
      </c>
      <c r="S42" s="29" t="s">
        <v>144</v>
      </c>
      <c r="T42" s="29" t="s">
        <v>145</v>
      </c>
      <c r="U42" s="29" t="s">
        <v>57</v>
      </c>
      <c r="V42" s="29"/>
      <c r="W42" s="29" t="s">
        <v>146</v>
      </c>
      <c r="X42" s="29" t="s">
        <v>147</v>
      </c>
      <c r="Y42" s="29"/>
      <c r="Z42" s="29"/>
      <c r="AA42" s="29"/>
      <c r="AB42" s="29" t="s">
        <v>148</v>
      </c>
      <c r="AC42" s="29" t="s">
        <v>149</v>
      </c>
      <c r="AD42" s="29" t="s">
        <v>150</v>
      </c>
      <c r="AE42" s="29" t="s">
        <v>151</v>
      </c>
      <c r="AF42" s="29" t="s">
        <v>152</v>
      </c>
      <c r="AG42" s="29" t="s">
        <v>174</v>
      </c>
      <c r="AH42" s="29"/>
      <c r="AI42" s="29"/>
      <c r="AJ42" s="29"/>
      <c r="AK42" s="29"/>
      <c r="AL42" s="29"/>
      <c r="AM42" s="29" t="s">
        <v>154</v>
      </c>
      <c r="AN42" s="29" t="s">
        <v>155</v>
      </c>
      <c r="AO42" s="29" t="s">
        <v>156</v>
      </c>
      <c r="AP42" s="29"/>
      <c r="AQ42" s="31">
        <v>2026</v>
      </c>
      <c r="AR42" s="31">
        <v>12</v>
      </c>
      <c r="AS42" s="30">
        <v>46022</v>
      </c>
      <c r="AT42" s="30">
        <v>46022</v>
      </c>
      <c r="AU42" s="30">
        <v>46022</v>
      </c>
      <c r="AV42" s="29" t="s">
        <v>165</v>
      </c>
      <c r="AW42" s="29" t="s">
        <v>175</v>
      </c>
      <c r="AX42" s="29" t="s">
        <v>176</v>
      </c>
      <c r="AY42" s="29" t="s">
        <v>177</v>
      </c>
      <c r="AZ42" s="29"/>
      <c r="BA42" s="29"/>
      <c r="BB42" s="29"/>
      <c r="BC42" s="29"/>
      <c r="BD42" s="29" t="s">
        <v>162</v>
      </c>
      <c r="BE42" s="29" t="s">
        <v>173</v>
      </c>
      <c r="BF42" s="29" t="s">
        <v>160</v>
      </c>
      <c r="BG42" s="34">
        <v>2423.44</v>
      </c>
      <c r="BH42" s="29" t="s">
        <v>161</v>
      </c>
      <c r="BI42" s="35">
        <v>6.9600000409999998</v>
      </c>
      <c r="BJ42" s="34">
        <v>16867.12</v>
      </c>
      <c r="BK42" s="29"/>
      <c r="BL42" s="35"/>
      <c r="BM42" s="34"/>
      <c r="BN42" s="29"/>
      <c r="BO42" s="35"/>
      <c r="BP42" s="34"/>
    </row>
  </sheetData>
  <autoFilter ref="A27:BP42" xr:uid="{00000000-0009-0000-0000-000000000000}">
    <filterColumn colId="49">
      <filters>
        <filter val="0000159010"/>
      </filters>
    </filterColumn>
  </autoFilter>
  <mergeCells count="7">
    <mergeCell ref="A6:A11"/>
    <mergeCell ref="B6:B11"/>
    <mergeCell ref="A1:F1"/>
    <mergeCell ref="A2:F2"/>
    <mergeCell ref="A3:B3"/>
    <mergeCell ref="C3:D3"/>
    <mergeCell ref="E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11751-8BD5-47D2-BED9-33C15830378E}">
  <dimension ref="A3:E12"/>
  <sheetViews>
    <sheetView workbookViewId="0">
      <selection activeCell="C52" sqref="C52"/>
    </sheetView>
  </sheetViews>
  <sheetFormatPr defaultRowHeight="14.5" x14ac:dyDescent="0.35"/>
  <cols>
    <col min="1" max="1" width="24.54296875" bestFit="1" customWidth="1"/>
    <col min="2" max="2" width="21.1796875" bestFit="1" customWidth="1"/>
    <col min="3" max="3" width="31.6328125" bestFit="1" customWidth="1"/>
    <col min="4" max="4" width="32.36328125" bestFit="1" customWidth="1"/>
  </cols>
  <sheetData>
    <row r="3" spans="1:5" x14ac:dyDescent="0.35">
      <c r="A3" s="36" t="s">
        <v>121</v>
      </c>
      <c r="B3" s="36" t="s">
        <v>9</v>
      </c>
      <c r="C3" t="s">
        <v>178</v>
      </c>
      <c r="D3" t="s">
        <v>179</v>
      </c>
    </row>
    <row r="4" spans="1:5" x14ac:dyDescent="0.35">
      <c r="A4" t="s">
        <v>19</v>
      </c>
      <c r="B4" t="s">
        <v>20</v>
      </c>
      <c r="C4" s="37">
        <v>-113405.22</v>
      </c>
      <c r="D4" s="37">
        <v>-789300.30999999994</v>
      </c>
    </row>
    <row r="5" spans="1:5" x14ac:dyDescent="0.35">
      <c r="A5" t="s">
        <v>24</v>
      </c>
      <c r="B5" t="s">
        <v>25</v>
      </c>
      <c r="C5" s="37">
        <v>164.94000000000233</v>
      </c>
      <c r="D5" s="37">
        <v>156.77999999999884</v>
      </c>
    </row>
    <row r="6" spans="1:5" x14ac:dyDescent="0.35">
      <c r="A6" t="s">
        <v>27</v>
      </c>
      <c r="B6" t="s">
        <v>28</v>
      </c>
      <c r="C6" s="37">
        <v>-2466.4499999999998</v>
      </c>
      <c r="D6" s="37">
        <v>-17083.400000000001</v>
      </c>
    </row>
    <row r="7" spans="1:5" x14ac:dyDescent="0.35">
      <c r="A7" t="s">
        <v>32</v>
      </c>
      <c r="B7" t="s">
        <v>33</v>
      </c>
      <c r="C7" s="37">
        <v>140238.31</v>
      </c>
      <c r="D7" s="37">
        <v>976058.64</v>
      </c>
    </row>
    <row r="8" spans="1:5" x14ac:dyDescent="0.35">
      <c r="A8" t="s">
        <v>34</v>
      </c>
      <c r="B8" t="s">
        <v>35</v>
      </c>
      <c r="C8" s="37">
        <v>-29.27</v>
      </c>
      <c r="D8" s="37">
        <v>-202.72</v>
      </c>
    </row>
    <row r="9" spans="1:5" x14ac:dyDescent="0.35">
      <c r="A9" t="s">
        <v>36</v>
      </c>
      <c r="B9" t="s">
        <v>37</v>
      </c>
      <c r="C9" s="37">
        <v>-26955.02</v>
      </c>
      <c r="D9" s="37">
        <v>-186698.83</v>
      </c>
    </row>
    <row r="10" spans="1:5" x14ac:dyDescent="0.35">
      <c r="A10" t="s">
        <v>38</v>
      </c>
      <c r="B10" t="s">
        <v>39</v>
      </c>
      <c r="C10" s="37">
        <v>0</v>
      </c>
      <c r="D10" s="37">
        <v>0</v>
      </c>
    </row>
    <row r="11" spans="1:5" x14ac:dyDescent="0.35">
      <c r="A11" t="s">
        <v>171</v>
      </c>
      <c r="B11" t="s">
        <v>172</v>
      </c>
      <c r="C11" s="37">
        <v>29.27</v>
      </c>
      <c r="D11" s="37">
        <v>202.72</v>
      </c>
      <c r="E11" t="s">
        <v>180</v>
      </c>
    </row>
    <row r="12" spans="1:5" x14ac:dyDescent="0.35">
      <c r="A12" t="s">
        <v>176</v>
      </c>
      <c r="B12" t="s">
        <v>177</v>
      </c>
      <c r="C12" s="37">
        <v>2423.44</v>
      </c>
      <c r="D12" s="37">
        <v>16867.12</v>
      </c>
      <c r="E12" t="s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21527-37FD-4C54-9F30-14DD15DB7F36}">
  <dimension ref="A2:O28"/>
  <sheetViews>
    <sheetView showGridLines="0" tabSelected="1" topLeftCell="A10" workbookViewId="0">
      <selection activeCell="F12" sqref="F12"/>
    </sheetView>
  </sheetViews>
  <sheetFormatPr defaultColWidth="8.7265625" defaultRowHeight="14.5" x14ac:dyDescent="0.35"/>
  <cols>
    <col min="1" max="1" width="12.54296875" style="1" bestFit="1" customWidth="1"/>
    <col min="2" max="2" width="18.7265625" style="1" customWidth="1"/>
    <col min="3" max="3" width="46.7265625" style="1" customWidth="1"/>
    <col min="4" max="4" width="28.453125" style="1" customWidth="1"/>
    <col min="5" max="5" width="24.54296875" style="1" customWidth="1"/>
    <col min="6" max="7" width="12.453125" style="1" customWidth="1"/>
    <col min="8" max="8" width="29.81640625" style="1" customWidth="1"/>
    <col min="9" max="9" width="26.54296875" style="1" customWidth="1"/>
    <col min="10" max="10" width="24.453125" style="2" customWidth="1"/>
    <col min="11" max="11" width="29.26953125" style="1" customWidth="1"/>
    <col min="12" max="12" width="26.54296875" style="1" customWidth="1"/>
    <col min="13" max="13" width="23" style="1" customWidth="1"/>
    <col min="14" max="14" width="11.26953125" style="1" customWidth="1"/>
    <col min="15" max="16384" width="8.7265625" style="1"/>
  </cols>
  <sheetData>
    <row r="2" spans="1:15" x14ac:dyDescent="0.35">
      <c r="B2" s="1" t="s">
        <v>0</v>
      </c>
      <c r="C2" s="1" t="s">
        <v>1</v>
      </c>
    </row>
    <row r="3" spans="1:15" x14ac:dyDescent="0.35">
      <c r="B3" s="1" t="s">
        <v>2</v>
      </c>
      <c r="C3" s="1" t="s">
        <v>3</v>
      </c>
    </row>
    <row r="4" spans="1:15" ht="15" thickBot="1" x14ac:dyDescent="0.4"/>
    <row r="5" spans="1:15" ht="15" thickBot="1" x14ac:dyDescent="0.4">
      <c r="B5" s="38" t="s">
        <v>4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40"/>
    </row>
    <row r="6" spans="1:15" ht="15" thickBot="1" x14ac:dyDescent="0.4">
      <c r="H6" s="1" t="s">
        <v>186</v>
      </c>
    </row>
    <row r="7" spans="1:15" ht="15" thickBot="1" x14ac:dyDescent="0.4">
      <c r="B7" s="3" t="s">
        <v>5</v>
      </c>
      <c r="F7" s="4"/>
      <c r="G7" s="4"/>
      <c r="H7" s="41" t="s">
        <v>6</v>
      </c>
      <c r="I7" s="42"/>
      <c r="K7" s="43" t="s">
        <v>7</v>
      </c>
      <c r="L7" s="44"/>
    </row>
    <row r="8" spans="1:15" ht="29" x14ac:dyDescent="0.35">
      <c r="A8" s="1" t="s">
        <v>181</v>
      </c>
      <c r="B8" s="3" t="s">
        <v>182</v>
      </c>
      <c r="C8" s="1" t="s">
        <v>183</v>
      </c>
      <c r="F8" s="4" t="s">
        <v>185</v>
      </c>
      <c r="G8" s="4" t="s">
        <v>188</v>
      </c>
      <c r="H8" s="51"/>
      <c r="I8" s="51"/>
      <c r="K8" s="52"/>
      <c r="L8" s="52"/>
    </row>
    <row r="9" spans="1:15" ht="29" x14ac:dyDescent="0.35">
      <c r="A9" s="54" t="str">
        <f>'CTR '!R27</f>
        <v>Contract ID</v>
      </c>
      <c r="B9" s="55" t="str">
        <f>'CTR '!AX27</f>
        <v>Account Number</v>
      </c>
      <c r="C9" s="53" t="str">
        <f>'CTR '!AY27</f>
        <v>Account Name</v>
      </c>
      <c r="D9" s="1" t="s">
        <v>184</v>
      </c>
      <c r="E9" s="1" t="s">
        <v>184</v>
      </c>
      <c r="F9" s="56" t="str">
        <f>'CTR '!BF27</f>
        <v>Contract Currency</v>
      </c>
      <c r="G9" s="56"/>
      <c r="H9" s="51"/>
      <c r="I9" s="51"/>
      <c r="J9" s="2" t="s">
        <v>184</v>
      </c>
      <c r="K9" s="52"/>
      <c r="L9" s="52"/>
    </row>
    <row r="10" spans="1:15" ht="29" x14ac:dyDescent="0.35">
      <c r="A10" s="5" t="s">
        <v>93</v>
      </c>
      <c r="B10" s="5" t="s">
        <v>8</v>
      </c>
      <c r="C10" s="5" t="s">
        <v>9</v>
      </c>
      <c r="D10" s="6" t="s">
        <v>10</v>
      </c>
      <c r="E10" s="6" t="s">
        <v>11</v>
      </c>
      <c r="F10" s="5" t="s">
        <v>12</v>
      </c>
      <c r="G10" s="7" t="s">
        <v>129</v>
      </c>
      <c r="H10" s="7" t="s">
        <v>13</v>
      </c>
      <c r="I10" s="7" t="s">
        <v>14</v>
      </c>
      <c r="J10" s="6" t="s">
        <v>15</v>
      </c>
      <c r="K10" s="8" t="s">
        <v>16</v>
      </c>
      <c r="L10" s="7" t="s">
        <v>17</v>
      </c>
      <c r="M10" s="5" t="s">
        <v>18</v>
      </c>
    </row>
    <row r="11" spans="1:15" x14ac:dyDescent="0.35">
      <c r="A11" s="29" t="s">
        <v>143</v>
      </c>
      <c r="B11" s="9" t="s">
        <v>19</v>
      </c>
      <c r="C11" s="10" t="s">
        <v>20</v>
      </c>
      <c r="D11" s="11" t="s">
        <v>21</v>
      </c>
      <c r="E11" s="12" t="s">
        <v>22</v>
      </c>
      <c r="F11" s="9" t="s">
        <v>1</v>
      </c>
      <c r="G11" s="9" t="s">
        <v>187</v>
      </c>
      <c r="H11" s="13">
        <v>-113405.22</v>
      </c>
      <c r="I11" s="13">
        <v>-789300.30999999994</v>
      </c>
      <c r="J11" s="14" t="s">
        <v>23</v>
      </c>
      <c r="K11" s="11"/>
      <c r="L11" s="15">
        <f>I11</f>
        <v>-789300.30999999994</v>
      </c>
      <c r="M11" s="16">
        <f t="shared" ref="M11:M16" si="0">I11-L11</f>
        <v>0</v>
      </c>
    </row>
    <row r="12" spans="1:15" x14ac:dyDescent="0.35">
      <c r="A12" s="29" t="s">
        <v>143</v>
      </c>
      <c r="B12" s="9" t="s">
        <v>24</v>
      </c>
      <c r="C12" s="10" t="s">
        <v>25</v>
      </c>
      <c r="D12" s="11" t="s">
        <v>26</v>
      </c>
      <c r="E12" s="12" t="s">
        <v>22</v>
      </c>
      <c r="F12" s="9" t="s">
        <v>1</v>
      </c>
      <c r="G12" s="9" t="s">
        <v>187</v>
      </c>
      <c r="H12" s="13">
        <v>164.94000000000233</v>
      </c>
      <c r="I12" s="13">
        <v>156.77999999999884</v>
      </c>
      <c r="J12" s="14" t="s">
        <v>23</v>
      </c>
      <c r="K12" s="11"/>
      <c r="L12" s="15">
        <f>I12</f>
        <v>156.77999999999884</v>
      </c>
      <c r="M12" s="16">
        <f t="shared" si="0"/>
        <v>0</v>
      </c>
    </row>
    <row r="13" spans="1:15" x14ac:dyDescent="0.35">
      <c r="A13" s="29" t="s">
        <v>143</v>
      </c>
      <c r="B13" s="9" t="s">
        <v>27</v>
      </c>
      <c r="C13" s="10" t="s">
        <v>28</v>
      </c>
      <c r="D13" s="11" t="s">
        <v>29</v>
      </c>
      <c r="E13" s="12" t="s">
        <v>30</v>
      </c>
      <c r="F13" s="9" t="s">
        <v>1</v>
      </c>
      <c r="G13" s="9" t="s">
        <v>187</v>
      </c>
      <c r="H13" s="13">
        <v>-2466.4499999999998</v>
      </c>
      <c r="I13" s="13">
        <v>-17083.400000000001</v>
      </c>
      <c r="J13" s="14" t="s">
        <v>31</v>
      </c>
      <c r="K13" s="11">
        <v>6.91</v>
      </c>
      <c r="L13" s="15">
        <f>K13*H13</f>
        <v>-17043.1695</v>
      </c>
      <c r="M13" s="16">
        <f>I13-L13</f>
        <v>-40.230500000001484</v>
      </c>
      <c r="O13" s="17"/>
    </row>
    <row r="14" spans="1:15" x14ac:dyDescent="0.35">
      <c r="A14" s="29" t="s">
        <v>143</v>
      </c>
      <c r="B14" s="9" t="s">
        <v>32</v>
      </c>
      <c r="C14" s="10" t="s">
        <v>33</v>
      </c>
      <c r="D14" s="11" t="s">
        <v>26</v>
      </c>
      <c r="E14" s="12" t="s">
        <v>22</v>
      </c>
      <c r="F14" s="9" t="s">
        <v>1</v>
      </c>
      <c r="G14" s="9" t="s">
        <v>187</v>
      </c>
      <c r="H14" s="13">
        <v>140238.31</v>
      </c>
      <c r="I14" s="13">
        <v>976058.64</v>
      </c>
      <c r="J14" s="14" t="s">
        <v>23</v>
      </c>
      <c r="K14" s="11"/>
      <c r="L14" s="15">
        <f>I14</f>
        <v>976058.64</v>
      </c>
      <c r="M14" s="16">
        <f t="shared" si="0"/>
        <v>0</v>
      </c>
      <c r="O14" s="17"/>
    </row>
    <row r="15" spans="1:15" x14ac:dyDescent="0.35">
      <c r="A15" s="29" t="s">
        <v>143</v>
      </c>
      <c r="B15" s="9" t="s">
        <v>34</v>
      </c>
      <c r="C15" s="10" t="s">
        <v>35</v>
      </c>
      <c r="D15" s="11" t="s">
        <v>29</v>
      </c>
      <c r="E15" s="12" t="s">
        <v>30</v>
      </c>
      <c r="F15" s="9" t="s">
        <v>1</v>
      </c>
      <c r="G15" s="9" t="s">
        <v>187</v>
      </c>
      <c r="H15" s="13">
        <v>-29.27</v>
      </c>
      <c r="I15" s="13">
        <v>-202.72</v>
      </c>
      <c r="J15" s="14" t="s">
        <v>31</v>
      </c>
      <c r="K15" s="11">
        <v>6.91</v>
      </c>
      <c r="L15" s="15">
        <f t="shared" ref="L15:L17" si="1">K15*H15</f>
        <v>-202.25569999999999</v>
      </c>
      <c r="M15" s="16">
        <f t="shared" si="0"/>
        <v>-0.46430000000000859</v>
      </c>
      <c r="N15" s="18"/>
    </row>
    <row r="16" spans="1:15" x14ac:dyDescent="0.35">
      <c r="A16" s="29" t="s">
        <v>143</v>
      </c>
      <c r="B16" s="9" t="s">
        <v>36</v>
      </c>
      <c r="C16" s="10" t="s">
        <v>37</v>
      </c>
      <c r="D16" s="11" t="s">
        <v>29</v>
      </c>
      <c r="E16" s="12" t="s">
        <v>30</v>
      </c>
      <c r="F16" s="9" t="s">
        <v>1</v>
      </c>
      <c r="G16" s="9" t="s">
        <v>187</v>
      </c>
      <c r="H16" s="13">
        <v>-26955.02</v>
      </c>
      <c r="I16" s="13">
        <v>-186698.83</v>
      </c>
      <c r="J16" s="14" t="s">
        <v>31</v>
      </c>
      <c r="K16" s="11">
        <v>6.91</v>
      </c>
      <c r="L16" s="15">
        <f t="shared" si="1"/>
        <v>-186259.1882</v>
      </c>
      <c r="M16" s="16">
        <f t="shared" si="0"/>
        <v>-439.64179999998305</v>
      </c>
    </row>
    <row r="17" spans="1:15" x14ac:dyDescent="0.35">
      <c r="A17" s="29" t="s">
        <v>143</v>
      </c>
      <c r="B17" s="9" t="s">
        <v>38</v>
      </c>
      <c r="C17" s="10" t="s">
        <v>39</v>
      </c>
      <c r="D17" s="11" t="s">
        <v>29</v>
      </c>
      <c r="E17" s="12" t="s">
        <v>30</v>
      </c>
      <c r="F17" s="9" t="s">
        <v>1</v>
      </c>
      <c r="G17" s="9" t="s">
        <v>187</v>
      </c>
      <c r="H17" s="13">
        <v>0</v>
      </c>
      <c r="I17" s="13">
        <v>0</v>
      </c>
      <c r="J17" s="14" t="s">
        <v>31</v>
      </c>
      <c r="K17" s="11">
        <v>6.91</v>
      </c>
      <c r="L17" s="15">
        <f t="shared" si="1"/>
        <v>0</v>
      </c>
      <c r="M17" s="16">
        <f>I17-L17</f>
        <v>0</v>
      </c>
      <c r="O17" s="17"/>
    </row>
    <row r="18" spans="1:15" x14ac:dyDescent="0.35">
      <c r="H18" s="19"/>
      <c r="I18" s="20"/>
      <c r="J18" s="21"/>
      <c r="L18" s="22"/>
      <c r="M18" s="22">
        <f>SUM(M11:M17)</f>
        <v>-480.33659999998451</v>
      </c>
    </row>
    <row r="19" spans="1:15" x14ac:dyDescent="0.35">
      <c r="H19" s="19"/>
      <c r="I19" s="20"/>
      <c r="J19" s="21"/>
      <c r="L19" s="23" t="s">
        <v>40</v>
      </c>
      <c r="M19" s="24">
        <v>479.86</v>
      </c>
    </row>
    <row r="20" spans="1:15" x14ac:dyDescent="0.35">
      <c r="B20" s="1" t="s">
        <v>184</v>
      </c>
      <c r="H20" s="19"/>
      <c r="I20" s="20"/>
      <c r="J20" s="21"/>
      <c r="L20" s="22"/>
      <c r="M20" s="25">
        <f>SUM(M18:M19)</f>
        <v>-0.47659999998450076</v>
      </c>
    </row>
    <row r="21" spans="1:15" x14ac:dyDescent="0.35">
      <c r="B21" s="5" t="s">
        <v>8</v>
      </c>
      <c r="C21" s="6" t="s">
        <v>10</v>
      </c>
      <c r="D21" s="6" t="s">
        <v>11</v>
      </c>
      <c r="E21" s="6" t="s">
        <v>15</v>
      </c>
      <c r="H21" s="19"/>
      <c r="I21" s="20"/>
      <c r="J21" s="21"/>
      <c r="L21" s="22"/>
      <c r="M21" s="22"/>
    </row>
    <row r="22" spans="1:15" x14ac:dyDescent="0.35">
      <c r="B22" s="9" t="s">
        <v>19</v>
      </c>
      <c r="C22" s="11" t="s">
        <v>21</v>
      </c>
      <c r="D22" s="12" t="s">
        <v>22</v>
      </c>
      <c r="E22" s="14" t="s">
        <v>23</v>
      </c>
      <c r="H22" s="19"/>
      <c r="I22" s="20"/>
      <c r="J22" s="21"/>
      <c r="L22" s="22"/>
      <c r="M22" s="22"/>
    </row>
    <row r="23" spans="1:15" x14ac:dyDescent="0.35">
      <c r="B23" s="9" t="s">
        <v>24</v>
      </c>
      <c r="C23" s="11" t="s">
        <v>26</v>
      </c>
      <c r="D23" s="12" t="s">
        <v>22</v>
      </c>
      <c r="E23" s="14" t="s">
        <v>23</v>
      </c>
      <c r="H23" s="19"/>
      <c r="I23" s="20"/>
      <c r="J23" s="21"/>
      <c r="L23" s="22"/>
      <c r="M23" s="22"/>
    </row>
    <row r="24" spans="1:15" x14ac:dyDescent="0.35">
      <c r="B24" s="9" t="s">
        <v>27</v>
      </c>
      <c r="C24" s="11" t="s">
        <v>29</v>
      </c>
      <c r="D24" s="12" t="s">
        <v>30</v>
      </c>
      <c r="E24" s="14" t="s">
        <v>31</v>
      </c>
      <c r="H24" s="19"/>
      <c r="I24" s="20"/>
      <c r="J24" s="21"/>
      <c r="L24" s="22"/>
      <c r="M24" s="22"/>
    </row>
    <row r="25" spans="1:15" x14ac:dyDescent="0.35">
      <c r="B25" s="9" t="s">
        <v>32</v>
      </c>
      <c r="C25" s="11" t="s">
        <v>26</v>
      </c>
      <c r="D25" s="12" t="s">
        <v>22</v>
      </c>
      <c r="E25" s="14" t="s">
        <v>23</v>
      </c>
    </row>
    <row r="26" spans="1:15" x14ac:dyDescent="0.35">
      <c r="B26" s="9" t="s">
        <v>34</v>
      </c>
      <c r="C26" s="11" t="s">
        <v>29</v>
      </c>
      <c r="D26" s="12" t="s">
        <v>30</v>
      </c>
      <c r="E26" s="14" t="s">
        <v>31</v>
      </c>
      <c r="K26" s="22"/>
    </row>
    <row r="27" spans="1:15" x14ac:dyDescent="0.35">
      <c r="B27" s="9" t="s">
        <v>36</v>
      </c>
      <c r="C27" s="11" t="s">
        <v>29</v>
      </c>
      <c r="D27" s="12" t="s">
        <v>30</v>
      </c>
      <c r="E27" s="14" t="s">
        <v>31</v>
      </c>
      <c r="K27" s="22"/>
    </row>
    <row r="28" spans="1:15" x14ac:dyDescent="0.35">
      <c r="B28" s="9" t="s">
        <v>38</v>
      </c>
      <c r="C28" s="11" t="s">
        <v>29</v>
      </c>
      <c r="D28" s="12" t="s">
        <v>30</v>
      </c>
      <c r="E28" s="14" t="s">
        <v>31</v>
      </c>
    </row>
  </sheetData>
  <mergeCells count="3">
    <mergeCell ref="B5:M5"/>
    <mergeCell ref="H7:I7"/>
    <mergeCell ref="K7:L7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CTR </vt:lpstr>
      <vt:lpstr>Pivot</vt:lpstr>
      <vt:lpstr>Remeasurement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Hailey Wilson</dc:creator>
  <cp:lastModifiedBy>Catalina Fulger</cp:lastModifiedBy>
  <dcterms:created xsi:type="dcterms:W3CDTF">2026-02-24T20:24:22Z</dcterms:created>
  <dcterms:modified xsi:type="dcterms:W3CDTF">2026-03-19T20:29:17Z</dcterms:modified>
</cp:coreProperties>
</file>