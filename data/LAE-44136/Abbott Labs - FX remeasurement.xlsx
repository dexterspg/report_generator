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nakisainc-my.sharepoint.com/personal/cfulger_nakisa_com/Documents/Documents/Abbott/"/>
    </mc:Choice>
  </mc:AlternateContent>
  <xr:revisionPtr revIDLastSave="0" documentId="8_{3ED82D8E-D1DC-4B41-9360-72ED66D0E990}" xr6:coauthVersionLast="47" xr6:coauthVersionMax="47" xr10:uidLastSave="{00000000-0000-0000-0000-000000000000}"/>
  <bookViews>
    <workbookView xWindow="-110" yWindow="-110" windowWidth="19420" windowHeight="11500" activeTab="4" xr2:uid="{A4D6A57B-D301-4722-A6DE-B80A1F0DB2BC}"/>
  </bookViews>
  <sheets>
    <sheet name="1. Instructions" sheetId="2" r:id="rId1"/>
    <sheet name="Period 1 --&gt; " sheetId="1" r:id="rId2"/>
    <sheet name="2. CTR P1" sheetId="6" r:id="rId3"/>
    <sheet name="3. CTR Pivot P1" sheetId="7" r:id="rId4"/>
    <sheet name="4. Remeasurement P1" sheetId="8" r:id="rId5"/>
    <sheet name="Period 2 --&gt;" sheetId="3" r:id="rId6"/>
    <sheet name="2.2 CTR P2" sheetId="9" r:id="rId7"/>
    <sheet name="3.2 CTR Pivot P2" sheetId="10" r:id="rId8"/>
    <sheet name="4.2 Remeasurement P2" sheetId="11" r:id="rId9"/>
  </sheets>
  <definedNames>
    <definedName name="_xlnm._FilterDatabase" localSheetId="2" hidden="1">'2. CTR P1'!$A$27:$BK$27</definedName>
    <definedName name="_xlnm._FilterDatabase" localSheetId="6" hidden="1">'2.2 CTR P2'!$A$27:$BK$137</definedName>
  </definedNames>
  <calcPr calcId="191028"/>
  <pivotCaches>
    <pivotCache cacheId="23" r:id="rId10"/>
    <pivotCache cacheId="2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8" l="1"/>
  <c r="G47" i="11"/>
  <c r="F50" i="11"/>
  <c r="F47" i="11"/>
  <c r="J22" i="11"/>
  <c r="K22" i="11" s="1"/>
  <c r="J21" i="11"/>
  <c r="K21" i="11" s="1"/>
  <c r="J20" i="11"/>
  <c r="K20" i="11" s="1"/>
  <c r="J19" i="11"/>
  <c r="K19" i="11" s="1"/>
  <c r="J18" i="11"/>
  <c r="K18" i="11" s="1"/>
  <c r="J17" i="11"/>
  <c r="K17" i="11" s="1"/>
  <c r="J16" i="11"/>
  <c r="K16" i="11" s="1"/>
  <c r="H50" i="11" s="1"/>
  <c r="J15" i="11"/>
  <c r="K15" i="11" s="1"/>
  <c r="H49" i="11" s="1"/>
  <c r="G46" i="11" s="1"/>
  <c r="J14" i="11"/>
  <c r="K14" i="11" s="1"/>
  <c r="J13" i="11"/>
  <c r="K13" i="11" s="1"/>
  <c r="J12" i="11"/>
  <c r="K12" i="11" s="1"/>
  <c r="J11" i="11"/>
  <c r="K11" i="11" s="1"/>
  <c r="H48" i="11" s="1"/>
  <c r="J10" i="11"/>
  <c r="K10" i="11" s="1"/>
  <c r="J9" i="11"/>
  <c r="K9" i="11" s="1"/>
  <c r="F47" i="8"/>
  <c r="F50" i="8"/>
  <c r="J22" i="8"/>
  <c r="K22" i="8" s="1"/>
  <c r="G47" i="8" s="1"/>
  <c r="J21" i="8"/>
  <c r="K21" i="8" s="1"/>
  <c r="J20" i="8"/>
  <c r="K20" i="8" s="1"/>
  <c r="J19" i="8"/>
  <c r="K19" i="8" s="1"/>
  <c r="J18" i="8"/>
  <c r="K18" i="8" s="1"/>
  <c r="J17" i="8"/>
  <c r="K17" i="8" s="1"/>
  <c r="J16" i="8"/>
  <c r="K16" i="8" s="1"/>
  <c r="H50" i="8" s="1"/>
  <c r="J15" i="8"/>
  <c r="J14" i="8"/>
  <c r="K14" i="8" s="1"/>
  <c r="J13" i="8"/>
  <c r="K13" i="8" s="1"/>
  <c r="J12" i="8"/>
  <c r="K12" i="8" s="1"/>
  <c r="K11" i="8"/>
  <c r="H48" i="8" s="1"/>
  <c r="J10" i="8"/>
  <c r="K10" i="8" s="1"/>
  <c r="J9" i="8"/>
  <c r="K9" i="8" s="1"/>
  <c r="G25" i="10"/>
  <c r="G24" i="10"/>
  <c r="G23" i="10"/>
  <c r="G21" i="10"/>
  <c r="G20" i="10"/>
  <c r="G19" i="10"/>
  <c r="G18" i="10"/>
  <c r="G17" i="10"/>
  <c r="G16" i="10"/>
  <c r="G15" i="10"/>
  <c r="G14" i="10"/>
  <c r="G11" i="10"/>
  <c r="G10" i="10"/>
  <c r="G9" i="10"/>
  <c r="G7" i="10"/>
  <c r="G6" i="10"/>
  <c r="G13" i="10"/>
  <c r="G12" i="10"/>
  <c r="G8" i="10"/>
  <c r="G22" i="10"/>
  <c r="K15" i="8" l="1"/>
  <c r="H49" i="8" s="1"/>
  <c r="G46" i="8" s="1"/>
</calcChain>
</file>

<file path=xl/sharedStrings.xml><?xml version="1.0" encoding="utf-8"?>
<sst xmlns="http://schemas.openxmlformats.org/spreadsheetml/2006/main" count="5797" uniqueCount="281">
  <si>
    <t>Fx Remeasurement Manual Workaround</t>
  </si>
  <si>
    <t>The steps below are intended to give you an overview of the process</t>
  </si>
  <si>
    <t xml:space="preserve">Example Scenario </t>
  </si>
  <si>
    <t xml:space="preserve">For more detailed instructions, please refer to the red outline text box on the individual tabs </t>
  </si>
  <si>
    <t xml:space="preserve">Company Currency </t>
  </si>
  <si>
    <t xml:space="preserve">USD </t>
  </si>
  <si>
    <t xml:space="preserve">Contract Currency </t>
  </si>
  <si>
    <t xml:space="preserve">This process should be performed: </t>
  </si>
  <si>
    <t xml:space="preserve">Contract 1: </t>
  </si>
  <si>
    <t>EUR</t>
  </si>
  <si>
    <t xml:space="preserve">- At every period end </t>
  </si>
  <si>
    <t>Contract 2:</t>
  </si>
  <si>
    <t>CAD</t>
  </si>
  <si>
    <t xml:space="preserve">- For every unique company currency </t>
  </si>
  <si>
    <t xml:space="preserve">Go Live Date: </t>
  </si>
  <si>
    <t>Janaury 1, 2025</t>
  </si>
  <si>
    <t>- For all accounting standards</t>
  </si>
  <si>
    <t xml:space="preserve">Note: this example was created using mock data, including mock FX rates that do not represent the actual fx rates. </t>
  </si>
  <si>
    <t xml:space="preserve">First Period: </t>
  </si>
  <si>
    <t xml:space="preserve">Step 1: </t>
  </si>
  <si>
    <t>Generate the Consolidated Transaction Report (CTR) for period 1</t>
  </si>
  <si>
    <t xml:space="preserve">- This report can be generated from the Nakisa General Ledger </t>
  </si>
  <si>
    <t xml:space="preserve">- This report displays a list of all transctions which have been posted internally within Nakisa. </t>
  </si>
  <si>
    <t xml:space="preserve">- For example, if your go-live date is March 1, 2026, this would be the first period you perform fx remeasurement on </t>
  </si>
  <si>
    <t xml:space="preserve">Step 2: </t>
  </si>
  <si>
    <t xml:space="preserve">Create a pivot table of the CTR </t>
  </si>
  <si>
    <t>- Create a pivot table - following the set up shown on tab 3. CTR Pivot</t>
  </si>
  <si>
    <t xml:space="preserve">- This allows you to see the GL balances in both contract currency &amp; company currency </t>
  </si>
  <si>
    <t>- You may chose to add additional inputs to the pivot table, such as company codeand/or company currency</t>
  </si>
  <si>
    <t xml:space="preserve">Step 3: </t>
  </si>
  <si>
    <t>Enter the information on Tab 4. Remeasurement</t>
  </si>
  <si>
    <t>- Enter the GL account # &amp; names from tab 3</t>
  </si>
  <si>
    <t xml:space="preserve">- Enter the contract currency and the company currency balances determined on Tab 3. </t>
  </si>
  <si>
    <t>- Enter the period end and historical fx rates, as applicable</t>
  </si>
  <si>
    <t>- Calculate the re-measurement balance</t>
  </si>
  <si>
    <t xml:space="preserve">- Calculate the difference between the initial measurement company currency balance and the remeasured company currency balance. </t>
  </si>
  <si>
    <t>- Record a journal entry to record the (gain) Loss on FX remeasurement</t>
  </si>
  <si>
    <t xml:space="preserve">Step 4: </t>
  </si>
  <si>
    <t xml:space="preserve">Record journal entry to record (Gain) Loss on FX Remeasurement </t>
  </si>
  <si>
    <t xml:space="preserve">- As this is currently a manual workaround, the journal entry will need to be recorded manually </t>
  </si>
  <si>
    <t>- Ensure to include this journal entry when calculating balances for the next period</t>
  </si>
  <si>
    <t xml:space="preserve">Second Period: </t>
  </si>
  <si>
    <t>These steps apply to the second period and after</t>
  </si>
  <si>
    <t xml:space="preserve">Generate the Consolidated Transaction Report (CTR) for all time </t>
  </si>
  <si>
    <t xml:space="preserve">- There are no opening balances or closing balances on the report, hence why it is important to generate the report for all time, up untill the end of the period in question. </t>
  </si>
  <si>
    <t>- For example, if your go-live date is March 1, 2026 and you are running the report for April, set the start date to March 1, 2026 and the end date to April 30, 2026.</t>
  </si>
  <si>
    <t>- Create a pivot table - following the set up shown on tab 3.2 CTR Pivot</t>
  </si>
  <si>
    <t>Add the previous period fx (Gain) loss on remeasurement</t>
  </si>
  <si>
    <t xml:space="preserve">- In the previous periods, you created a manual journal entries to record the (Gain) Loss on fx remeasurement </t>
  </si>
  <si>
    <t xml:space="preserve">- As these journal entries were never entered into Nakisa, you will need to manually add it to the balances determines in Step 2 </t>
  </si>
  <si>
    <t xml:space="preserve">- This will ensure your period has the correct balances. </t>
  </si>
  <si>
    <t>Enter the information on Tab 4.2 Remeasurement</t>
  </si>
  <si>
    <t>Nakisa</t>
  </si>
  <si>
    <t>Consolidated Transaction Report</t>
  </si>
  <si>
    <t>Profile Inputs</t>
  </si>
  <si>
    <t>Job Inputs</t>
  </si>
  <si>
    <t>Report Information</t>
  </si>
  <si>
    <t>Profile Name</t>
  </si>
  <si>
    <t>Date Range Type</t>
  </si>
  <si>
    <t>Posting Date</t>
  </si>
  <si>
    <t>Generated At</t>
  </si>
  <si>
    <t>Principal Position</t>
  </si>
  <si>
    <t>Start Date</t>
  </si>
  <si>
    <t>Created By</t>
  </si>
  <si>
    <t>hailey.wilson@nakisa.com</t>
  </si>
  <si>
    <t>System</t>
  </si>
  <si>
    <t>End Date</t>
  </si>
  <si>
    <t>Report Id</t>
  </si>
  <si>
    <t>Calendar Type</t>
  </si>
  <si>
    <t>Accounting Standard</t>
  </si>
  <si>
    <t>Number Of Records</t>
  </si>
  <si>
    <t>Fiscal Variant</t>
  </si>
  <si>
    <t>Migrated Filter</t>
  </si>
  <si>
    <t>All</t>
  </si>
  <si>
    <t>Lease Area</t>
  </si>
  <si>
    <t>Transaction Type Values</t>
  </si>
  <si>
    <t>Business Unit</t>
  </si>
  <si>
    <t>Ledger Types</t>
  </si>
  <si>
    <t/>
  </si>
  <si>
    <t>Company Code</t>
  </si>
  <si>
    <t>Classifications</t>
  </si>
  <si>
    <t>Lease Department</t>
  </si>
  <si>
    <t>Asset Classes</t>
  </si>
  <si>
    <t>Lease Group</t>
  </si>
  <si>
    <t>Vendors</t>
  </si>
  <si>
    <t>Cost Center</t>
  </si>
  <si>
    <t>Journal States</t>
  </si>
  <si>
    <t>Profit Center</t>
  </si>
  <si>
    <t>External Status</t>
  </si>
  <si>
    <t>Work Breakdown Structure</t>
  </si>
  <si>
    <t>Business Areas</t>
  </si>
  <si>
    <t>Object List Application Filter</t>
  </si>
  <si>
    <t>Nakisa Lease Accounting (NLA)</t>
  </si>
  <si>
    <t>Functional Areas</t>
  </si>
  <si>
    <t>Reference Field Name Filter</t>
  </si>
  <si>
    <t>Activation Group ID</t>
  </si>
  <si>
    <t>Object List Display Ids Filter</t>
  </si>
  <si>
    <t>AG-100055808, AG-100055306</t>
  </si>
  <si>
    <t>Unit Cost Center</t>
  </si>
  <si>
    <t>Unit Profit Center</t>
  </si>
  <si>
    <t>Unit Responsible Cost Center</t>
  </si>
  <si>
    <t>WBS</t>
  </si>
  <si>
    <t>Business Area</t>
  </si>
  <si>
    <t>Functional Area</t>
  </si>
  <si>
    <t>Segment</t>
  </si>
  <si>
    <t>Source</t>
  </si>
  <si>
    <t>Purchase Organization</t>
  </si>
  <si>
    <t>Purchase Order</t>
  </si>
  <si>
    <t>Transaction Type</t>
  </si>
  <si>
    <t>Transaction Type Value</t>
  </si>
  <si>
    <t>Contract ID</t>
  </si>
  <si>
    <t>Contract Name</t>
  </si>
  <si>
    <t>Lease Component ID</t>
  </si>
  <si>
    <t>External Contract Reference</t>
  </si>
  <si>
    <t>Contract Cost Center</t>
  </si>
  <si>
    <t>Lease Classification</t>
  </si>
  <si>
    <t>Internal Asset Class</t>
  </si>
  <si>
    <t>Unit</t>
  </si>
  <si>
    <t>Internal Document Number</t>
  </si>
  <si>
    <t>External Document Number</t>
  </si>
  <si>
    <t>Internal Reversal Document Number</t>
  </si>
  <si>
    <t>External Reversal Document Number</t>
  </si>
  <si>
    <t>Original Internal Document Number</t>
  </si>
  <si>
    <t>Original External Document Number</t>
  </si>
  <si>
    <t>Journal State</t>
  </si>
  <si>
    <t>Internal Status</t>
  </si>
  <si>
    <t>Externally Posted By</t>
  </si>
  <si>
    <t>Fiscal Year</t>
  </si>
  <si>
    <t>Fiscal Period</t>
  </si>
  <si>
    <t>Translation Date</t>
  </si>
  <si>
    <t>Document Date</t>
  </si>
  <si>
    <t>Document Type</t>
  </si>
  <si>
    <t>Depreciation Area</t>
  </si>
  <si>
    <t>Account Number</t>
  </si>
  <si>
    <t>Account Name</t>
  </si>
  <si>
    <t>Vendor</t>
  </si>
  <si>
    <t>Trading Partner ID</t>
  </si>
  <si>
    <t>Trading Partner Name</t>
  </si>
  <si>
    <t>Accounting Entry</t>
  </si>
  <si>
    <t>Description</t>
  </si>
  <si>
    <t>Contract Currency</t>
  </si>
  <si>
    <t>Amount in Contract Currency</t>
  </si>
  <si>
    <t>Company Currency</t>
  </si>
  <si>
    <t>Company Currency Exchange Rate</t>
  </si>
  <si>
    <t>Amount in Company Currency</t>
  </si>
  <si>
    <t>Group Currency 1</t>
  </si>
  <si>
    <t>Group Currency Exchange Rate 1</t>
  </si>
  <si>
    <t>Amount in Group Currency 1</t>
  </si>
  <si>
    <t>Group Currency 2</t>
  </si>
  <si>
    <t>Group Currency Exchange Rate 2</t>
  </si>
  <si>
    <t>Amount in Group Currency 2</t>
  </si>
  <si>
    <t>FINQ8S-300 - FINQ8S-300</t>
  </si>
  <si>
    <t>0001</t>
  </si>
  <si>
    <t>BU0001</t>
  </si>
  <si>
    <t>0000000120</t>
  </si>
  <si>
    <t>Local</t>
  </si>
  <si>
    <t>Liability</t>
  </si>
  <si>
    <t>Z01</t>
  </si>
  <si>
    <t>CT-100080835</t>
  </si>
  <si>
    <t>22222</t>
  </si>
  <si>
    <t>LC-100065284</t>
  </si>
  <si>
    <t>AG-100055306</t>
  </si>
  <si>
    <t>0000012999</t>
  </si>
  <si>
    <t>Lessee</t>
  </si>
  <si>
    <t>1000</t>
  </si>
  <si>
    <t>IAS</t>
  </si>
  <si>
    <t>Finance</t>
  </si>
  <si>
    <t>IAC0001 - EQUIPMENT</t>
  </si>
  <si>
    <t>UN-100135411</t>
  </si>
  <si>
    <t>2025023595</t>
  </si>
  <si>
    <t>Post</t>
  </si>
  <si>
    <t>Posted</t>
  </si>
  <si>
    <t>Open</t>
  </si>
  <si>
    <t>SA</t>
  </si>
  <si>
    <t>0000280903</t>
  </si>
  <si>
    <t>LT Lease Payable</t>
  </si>
  <si>
    <t>Credit</t>
  </si>
  <si>
    <t>Recognition</t>
  </si>
  <si>
    <t>USD</t>
  </si>
  <si>
    <t>0000159999</t>
  </si>
  <si>
    <t>Asset Clearing</t>
  </si>
  <si>
    <t>Debit</t>
  </si>
  <si>
    <t>Asset Capitalization</t>
  </si>
  <si>
    <t>120</t>
  </si>
  <si>
    <t>2025023596</t>
  </si>
  <si>
    <t>0000210503</t>
  </si>
  <si>
    <t>ROU_ASSET</t>
  </si>
  <si>
    <t>GAAP</t>
  </si>
  <si>
    <t>Operating</t>
  </si>
  <si>
    <t>2025023597</t>
  </si>
  <si>
    <t>2025023598</t>
  </si>
  <si>
    <t>Payment</t>
  </si>
  <si>
    <t>Z02</t>
  </si>
  <si>
    <t>2025023599</t>
  </si>
  <si>
    <t>A1</t>
  </si>
  <si>
    <t>0000200500</t>
  </si>
  <si>
    <t>AP Clearing</t>
  </si>
  <si>
    <t>0000280900</t>
  </si>
  <si>
    <t>st lease</t>
  </si>
  <si>
    <t>0000280001</t>
  </si>
  <si>
    <t>Non-Lease Accrual</t>
  </si>
  <si>
    <t>2025023600</t>
  </si>
  <si>
    <t>0000280000</t>
  </si>
  <si>
    <t>0000000110</t>
  </si>
  <si>
    <t>CT-100080838</t>
  </si>
  <si>
    <t>33333</t>
  </si>
  <si>
    <t>LC-100065287</t>
  </si>
  <si>
    <t>AG-100055808</t>
  </si>
  <si>
    <t>0000011093</t>
  </si>
  <si>
    <t>UN-100135413</t>
  </si>
  <si>
    <t>2025023671</t>
  </si>
  <si>
    <t>0000270000</t>
  </si>
  <si>
    <t>Accrued Interest</t>
  </si>
  <si>
    <t>2025023672</t>
  </si>
  <si>
    <t>Accrual</t>
  </si>
  <si>
    <t>500</t>
  </si>
  <si>
    <t>2025023601</t>
  </si>
  <si>
    <t>0000600000</t>
  </si>
  <si>
    <t>Interest</t>
  </si>
  <si>
    <t>0000710300</t>
  </si>
  <si>
    <t>Parking</t>
  </si>
  <si>
    <t>2025023602</t>
  </si>
  <si>
    <t>Depreciation</t>
  </si>
  <si>
    <t>220</t>
  </si>
  <si>
    <t>2025023603</t>
  </si>
  <si>
    <t>01</t>
  </si>
  <si>
    <t>0000159010</t>
  </si>
  <si>
    <t>Accumulated Depreciation</t>
  </si>
  <si>
    <t>0000700006</t>
  </si>
  <si>
    <t>DEPRECIATION</t>
  </si>
  <si>
    <t>2025023604</t>
  </si>
  <si>
    <t>40</t>
  </si>
  <si>
    <t>2025023673</t>
  </si>
  <si>
    <t>0000710500</t>
  </si>
  <si>
    <t>Services</t>
  </si>
  <si>
    <t>2025023674</t>
  </si>
  <si>
    <t>2025023675</t>
  </si>
  <si>
    <t>2025023676</t>
  </si>
  <si>
    <t>Sum of Amount in Contract Currency</t>
  </si>
  <si>
    <t>Sum of Amount in Company Currency</t>
  </si>
  <si>
    <t>P&amp;L</t>
  </si>
  <si>
    <t>Grand Total</t>
  </si>
  <si>
    <t>Period 1</t>
  </si>
  <si>
    <t>Balance Sheet</t>
  </si>
  <si>
    <t>Initial Measurement</t>
  </si>
  <si>
    <t>Re-Measurement</t>
  </si>
  <si>
    <t xml:space="preserve">Account Number </t>
  </si>
  <si>
    <t xml:space="preserve">Account Type </t>
  </si>
  <si>
    <t xml:space="preserve">Monetary? </t>
  </si>
  <si>
    <t xml:space="preserve">Account Currency </t>
  </si>
  <si>
    <t xml:space="preserve">Balance in Contract Currency </t>
  </si>
  <si>
    <t>Intial measurement Company Currency Balance -(USD)</t>
  </si>
  <si>
    <t>Rate</t>
  </si>
  <si>
    <t xml:space="preserve">Period-End Spot Exchange Rate </t>
  </si>
  <si>
    <t>Re-measured Balance -Company Currency (USD)</t>
  </si>
  <si>
    <t>FX (Gain) or Loss</t>
  </si>
  <si>
    <t xml:space="preserve">Contra Asset </t>
  </si>
  <si>
    <t>Non-Monetary</t>
  </si>
  <si>
    <t>Historical</t>
  </si>
  <si>
    <t xml:space="preserve">Asset </t>
  </si>
  <si>
    <t xml:space="preserve">Monetary </t>
  </si>
  <si>
    <t>Period End</t>
  </si>
  <si>
    <t>Immaterial</t>
  </si>
  <si>
    <t>(Gain) Loss on FX remeasurement</t>
  </si>
  <si>
    <t>ST Lease Payable</t>
  </si>
  <si>
    <t xml:space="preserve">Accumulated Depreciation </t>
  </si>
  <si>
    <t>2025023605</t>
  </si>
  <si>
    <t>2025023606</t>
  </si>
  <si>
    <t>2025023677</t>
  </si>
  <si>
    <t>2025023678</t>
  </si>
  <si>
    <t>2025023607</t>
  </si>
  <si>
    <t>2025023608</t>
  </si>
  <si>
    <t>2025023609</t>
  </si>
  <si>
    <t>2025023610</t>
  </si>
  <si>
    <t>2025023679</t>
  </si>
  <si>
    <t>2025023680</t>
  </si>
  <si>
    <t>2025023681</t>
  </si>
  <si>
    <t>2025023682</t>
  </si>
  <si>
    <t>(All)</t>
  </si>
  <si>
    <t>FX entry recorded in previous periods  (USD)</t>
  </si>
  <si>
    <t xml:space="preserve">Total period end balance - Company Currency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</si>
</sst>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yyyy\-mm\-dd\ hh:mm:ss"/>
    <numFmt numFmtId="165" formatCode="yyyy\-mm\-dd"/>
    <numFmt numFmtId="166" formatCode="###0"/>
    <numFmt numFmtId="167" formatCode="_(#,##0.00_);_(\(#,##0.00\);_(&quot;-&quot;_);_(@_)"/>
    <numFmt numFmtId="168" formatCode="#,##0.0000"/>
    <numFmt numFmtId="169" formatCode="_(* #,##0_);_(* \(#,##0\);_(* &quot;-&quot;??_);_(@_)"/>
  </numFmts>
  <fonts count="12" x14ac:knownFonts="1">
    <font>
      <sz val="11"/>
      <color theme="1"/>
      <name val="Aptos Narrow"/>
      <family val="2"/>
      <scheme val="minor"/>
    </font>
    <font>
      <sz val="11"/>
      <color rgb="FF3F3F76"/>
      <name val="Aptos Narrow"/>
      <family val="2"/>
      <scheme val="minor"/>
    </font>
    <font>
      <b/>
      <sz val="11"/>
      <color theme="1"/>
      <name val="Aptos Narrow"/>
      <family val="2"/>
      <scheme val="minor"/>
    </font>
    <font>
      <sz val="11"/>
      <color indexed="8"/>
      <name val="Aptos Narrow"/>
      <family val="2"/>
      <scheme val="minor"/>
    </font>
    <font>
      <b/>
      <sz val="11"/>
      <color indexed="8"/>
      <name val="Aptos Narrow"/>
      <family val="2"/>
      <scheme val="minor"/>
    </font>
    <font>
      <b/>
      <sz val="18"/>
      <color indexed="40"/>
      <name val="Calibri"/>
      <family val="2"/>
    </font>
    <font>
      <b/>
      <sz val="16"/>
      <color indexed="8"/>
      <name val="Calibri"/>
      <family val="2"/>
    </font>
    <font>
      <b/>
      <sz val="13"/>
      <color indexed="8"/>
      <name val="Calibri"/>
      <family val="2"/>
    </font>
    <font>
      <b/>
      <sz val="11"/>
      <color indexed="8"/>
      <name val="Calibri"/>
      <family val="2"/>
    </font>
    <font>
      <sz val="11"/>
      <color indexed="8"/>
      <name val="Calibri"/>
      <family val="2"/>
    </font>
    <font>
      <b/>
      <sz val="11"/>
      <color rgb="FFFF0000"/>
      <name val="Aptos Narrow"/>
      <family val="2"/>
      <scheme val="minor"/>
    </font>
    <font>
      <sz val="11"/>
      <color theme="1"/>
      <name val="Aptos Narrow"/>
      <family val="2"/>
      <scheme val="minor"/>
    </font>
  </fonts>
  <fills count="15">
    <fill>
      <patternFill patternType="none"/>
    </fill>
    <fill>
      <patternFill patternType="gray125"/>
    </fill>
    <fill>
      <patternFill patternType="solid">
        <fgColor rgb="FFFFCC99"/>
      </patternFill>
    </fill>
    <fill>
      <patternFill patternType="solid">
        <fgColor theme="3"/>
        <bgColor indexed="64"/>
      </patternFill>
    </fill>
    <fill>
      <patternFill patternType="solid">
        <fgColor indexed="9"/>
      </patternFill>
    </fill>
    <fill>
      <patternFill patternType="solid">
        <fgColor indexed="55" tint="0.29999694814905242"/>
        <bgColor indexed="65"/>
      </patternFill>
    </fill>
    <fill>
      <patternFill patternType="solid">
        <fgColor indexed="22" tint="0.19998779259620961"/>
        <bgColor indexed="65"/>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79998168889431442"/>
        <bgColor indexed="9"/>
      </patternFill>
    </fill>
    <fill>
      <patternFill patternType="solid">
        <fgColor theme="6" tint="0.39997558519241921"/>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2" borderId="1" applyNumberFormat="0" applyAlignment="0" applyProtection="0"/>
    <xf numFmtId="0" fontId="3" fillId="0" borderId="0"/>
    <xf numFmtId="43" fontId="3" fillId="0" borderId="0" applyFont="0" applyFill="0" applyBorder="0" applyAlignment="0" applyProtection="0"/>
    <xf numFmtId="43" fontId="11" fillId="0" borderId="0" applyFont="0" applyFill="0" applyBorder="0" applyAlignment="0" applyProtection="0"/>
  </cellStyleXfs>
  <cellXfs count="79">
    <xf numFmtId="0" fontId="0" fillId="0" borderId="0" xfId="0"/>
    <xf numFmtId="0" fontId="3" fillId="3" borderId="0" xfId="2" applyFill="1"/>
    <xf numFmtId="0" fontId="4" fillId="0" borderId="0" xfId="2" applyFont="1"/>
    <xf numFmtId="0" fontId="3" fillId="0" borderId="0" xfId="2"/>
    <xf numFmtId="0" fontId="3" fillId="0" borderId="0" xfId="2" quotePrefix="1"/>
    <xf numFmtId="49" fontId="7" fillId="6" borderId="0" xfId="2" applyNumberFormat="1" applyFont="1" applyFill="1" applyAlignment="1">
      <alignment horizontal="center" vertical="center"/>
    </xf>
    <xf numFmtId="49" fontId="8" fillId="4" borderId="0" xfId="2" applyNumberFormat="1" applyFont="1" applyFill="1" applyAlignment="1">
      <alignment horizontal="left" vertical="center"/>
    </xf>
    <xf numFmtId="0" fontId="9" fillId="0" borderId="0" xfId="2" applyFont="1" applyAlignment="1">
      <alignment horizontal="left" vertical="center"/>
    </xf>
    <xf numFmtId="164" fontId="9" fillId="0" borderId="0" xfId="2" applyNumberFormat="1" applyFont="1" applyAlignment="1">
      <alignment horizontal="left" vertical="center"/>
    </xf>
    <xf numFmtId="165" fontId="9" fillId="0" borderId="0" xfId="2" applyNumberFormat="1" applyFont="1" applyAlignment="1">
      <alignment horizontal="left" vertical="center"/>
    </xf>
    <xf numFmtId="166" fontId="9" fillId="0" borderId="0" xfId="2" applyNumberFormat="1" applyFont="1" applyAlignment="1">
      <alignment horizontal="left" vertical="center"/>
    </xf>
    <xf numFmtId="3" fontId="9" fillId="0" borderId="0" xfId="2" applyNumberFormat="1" applyFont="1" applyAlignment="1">
      <alignment horizontal="left" vertical="center"/>
    </xf>
    <xf numFmtId="167" fontId="9" fillId="0" borderId="0" xfId="2" applyNumberFormat="1" applyFont="1" applyAlignment="1">
      <alignment horizontal="left" vertical="center"/>
    </xf>
    <xf numFmtId="168" fontId="9" fillId="0" borderId="0" xfId="2" applyNumberFormat="1" applyFont="1" applyAlignment="1">
      <alignment horizontal="left" vertical="center"/>
    </xf>
    <xf numFmtId="165" fontId="9" fillId="7" borderId="0" xfId="2" applyNumberFormat="1" applyFont="1" applyFill="1" applyAlignment="1">
      <alignment horizontal="left" vertical="center"/>
    </xf>
    <xf numFmtId="0" fontId="0" fillId="0" borderId="0" xfId="0" pivotButton="1"/>
    <xf numFmtId="167" fontId="0" fillId="0" borderId="0" xfId="0" applyNumberFormat="1"/>
    <xf numFmtId="166" fontId="0" fillId="0" borderId="0" xfId="0" applyNumberFormat="1" applyAlignment="1">
      <alignment horizontal="left"/>
    </xf>
    <xf numFmtId="0" fontId="0" fillId="8" borderId="0" xfId="0" applyFill="1"/>
    <xf numFmtId="0" fontId="3" fillId="0" borderId="0" xfId="2" applyAlignment="1">
      <alignment wrapText="1"/>
    </xf>
    <xf numFmtId="0" fontId="3" fillId="0" borderId="0" xfId="2" applyAlignment="1">
      <alignment horizontal="center" wrapText="1"/>
    </xf>
    <xf numFmtId="0" fontId="2" fillId="0" borderId="0" xfId="2" applyFont="1" applyAlignment="1">
      <alignment wrapText="1"/>
    </xf>
    <xf numFmtId="0" fontId="1" fillId="0" borderId="0" xfId="1" applyFill="1" applyBorder="1" applyAlignment="1">
      <alignment wrapText="1"/>
    </xf>
    <xf numFmtId="0" fontId="2" fillId="0" borderId="6" xfId="2" applyFont="1" applyBorder="1" applyAlignment="1">
      <alignment horizontal="center" vertical="top" wrapText="1"/>
    </xf>
    <xf numFmtId="0" fontId="2" fillId="12" borderId="6" xfId="2" applyFont="1" applyFill="1" applyBorder="1" applyAlignment="1">
      <alignment horizontal="center" vertical="top" wrapText="1"/>
    </xf>
    <xf numFmtId="0" fontId="2" fillId="0" borderId="7" xfId="2" applyFont="1" applyBorder="1" applyAlignment="1">
      <alignment horizontal="center" vertical="top" wrapText="1"/>
    </xf>
    <xf numFmtId="0" fontId="2" fillId="12" borderId="7" xfId="2" applyFont="1" applyFill="1" applyBorder="1" applyAlignment="1">
      <alignment horizontal="center" vertical="top" wrapText="1"/>
    </xf>
    <xf numFmtId="0" fontId="3" fillId="12" borderId="6" xfId="2" applyFill="1" applyBorder="1" applyAlignment="1">
      <alignment wrapText="1"/>
    </xf>
    <xf numFmtId="0" fontId="3" fillId="13" borderId="6" xfId="2" applyFill="1" applyBorder="1" applyAlignment="1">
      <alignment wrapText="1"/>
    </xf>
    <xf numFmtId="43" fontId="0" fillId="0" borderId="6" xfId="3" applyFont="1" applyBorder="1" applyAlignment="1">
      <alignment wrapText="1"/>
    </xf>
    <xf numFmtId="3" fontId="3" fillId="12" borderId="6" xfId="2" applyNumberFormat="1" applyFill="1" applyBorder="1" applyAlignment="1">
      <alignment horizontal="center" wrapText="1"/>
    </xf>
    <xf numFmtId="43" fontId="3" fillId="0" borderId="6" xfId="2" applyNumberFormat="1" applyBorder="1" applyAlignment="1">
      <alignment wrapText="1"/>
    </xf>
    <xf numFmtId="169" fontId="3" fillId="0" borderId="6" xfId="2" applyNumberFormat="1" applyBorder="1" applyAlignment="1">
      <alignment horizontal="left" wrapText="1" indent="3"/>
    </xf>
    <xf numFmtId="16" fontId="3" fillId="0" borderId="0" xfId="2" applyNumberFormat="1" applyAlignment="1">
      <alignment wrapText="1"/>
    </xf>
    <xf numFmtId="0" fontId="10" fillId="0" borderId="0" xfId="2" applyFont="1" applyAlignment="1">
      <alignment wrapText="1"/>
    </xf>
    <xf numFmtId="169" fontId="0" fillId="0" borderId="0" xfId="3" applyNumberFormat="1" applyFont="1" applyFill="1" applyBorder="1" applyAlignment="1">
      <alignment wrapText="1"/>
    </xf>
    <xf numFmtId="167" fontId="3" fillId="0" borderId="0" xfId="2" applyNumberFormat="1" applyAlignment="1">
      <alignment wrapText="1"/>
    </xf>
    <xf numFmtId="3" fontId="3" fillId="0" borderId="0" xfId="2" applyNumberFormat="1" applyAlignment="1">
      <alignment horizontal="center" wrapText="1"/>
    </xf>
    <xf numFmtId="43" fontId="3" fillId="0" borderId="0" xfId="2" applyNumberFormat="1" applyAlignment="1">
      <alignment wrapText="1"/>
    </xf>
    <xf numFmtId="167" fontId="0" fillId="0" borderId="6" xfId="0" applyNumberFormat="1" applyBorder="1"/>
    <xf numFmtId="0" fontId="2" fillId="0" borderId="6" xfId="0" applyFont="1" applyBorder="1"/>
    <xf numFmtId="0" fontId="0" fillId="0" borderId="6" xfId="0" applyBorder="1"/>
    <xf numFmtId="0" fontId="4" fillId="0" borderId="8" xfId="2" applyFont="1" applyBorder="1"/>
    <xf numFmtId="0" fontId="3" fillId="0" borderId="9" xfId="2" applyBorder="1"/>
    <xf numFmtId="0" fontId="3" fillId="0" borderId="10" xfId="2" applyBorder="1"/>
    <xf numFmtId="0" fontId="3" fillId="0" borderId="11" xfId="2" applyBorder="1"/>
    <xf numFmtId="0" fontId="3" fillId="0" borderId="12" xfId="2" applyBorder="1"/>
    <xf numFmtId="0" fontId="3" fillId="0" borderId="13" xfId="2" applyBorder="1"/>
    <xf numFmtId="0" fontId="3" fillId="0" borderId="14" xfId="2" applyBorder="1"/>
    <xf numFmtId="0" fontId="3" fillId="0" borderId="15" xfId="2" applyBorder="1"/>
    <xf numFmtId="0" fontId="3" fillId="0" borderId="8" xfId="2" applyBorder="1"/>
    <xf numFmtId="43" fontId="3" fillId="0" borderId="9" xfId="2" applyNumberFormat="1" applyBorder="1" applyAlignment="1">
      <alignment wrapText="1"/>
    </xf>
    <xf numFmtId="43" fontId="3" fillId="0" borderId="10" xfId="2" applyNumberFormat="1" applyBorder="1" applyAlignment="1">
      <alignment horizontal="center" wrapText="1"/>
    </xf>
    <xf numFmtId="0" fontId="3" fillId="0" borderId="11" xfId="2" applyBorder="1" applyAlignment="1">
      <alignment wrapText="1"/>
    </xf>
    <xf numFmtId="169" fontId="3" fillId="0" borderId="0" xfId="2" applyNumberFormat="1" applyAlignment="1">
      <alignment wrapText="1"/>
    </xf>
    <xf numFmtId="43" fontId="3" fillId="0" borderId="12" xfId="2" applyNumberFormat="1" applyBorder="1" applyAlignment="1">
      <alignment horizontal="center" wrapText="1"/>
    </xf>
    <xf numFmtId="0" fontId="3" fillId="0" borderId="11" xfId="2" applyBorder="1" applyAlignment="1">
      <alignment horizontal="left" wrapText="1" indent="4"/>
    </xf>
    <xf numFmtId="169" fontId="3" fillId="0" borderId="12" xfId="2" applyNumberFormat="1" applyBorder="1" applyAlignment="1">
      <alignment horizontal="center" wrapText="1"/>
    </xf>
    <xf numFmtId="0" fontId="3" fillId="0" borderId="13" xfId="2" applyBorder="1" applyAlignment="1">
      <alignment horizontal="left" wrapText="1" indent="4"/>
    </xf>
    <xf numFmtId="0" fontId="3" fillId="0" borderId="14" xfId="2" applyBorder="1" applyAlignment="1">
      <alignment wrapText="1"/>
    </xf>
    <xf numFmtId="169" fontId="3" fillId="0" borderId="15" xfId="2" applyNumberFormat="1" applyBorder="1" applyAlignment="1">
      <alignment horizontal="center" wrapText="1"/>
    </xf>
    <xf numFmtId="169" fontId="0" fillId="0" borderId="0" xfId="0" applyNumberFormat="1"/>
    <xf numFmtId="0" fontId="2" fillId="14" borderId="2" xfId="0" applyFont="1" applyFill="1" applyBorder="1"/>
    <xf numFmtId="169" fontId="0" fillId="0" borderId="0" xfId="4" applyNumberFormat="1" applyFont="1"/>
    <xf numFmtId="0" fontId="3" fillId="0" borderId="12" xfId="2" applyBorder="1" applyAlignment="1">
      <alignment horizontal="center" wrapText="1"/>
    </xf>
    <xf numFmtId="0" fontId="4" fillId="9" borderId="3" xfId="2" applyFont="1" applyFill="1" applyBorder="1" applyAlignment="1">
      <alignment horizontal="center" wrapText="1"/>
    </xf>
    <xf numFmtId="0" fontId="4" fillId="9" borderId="4" xfId="2" applyFont="1" applyFill="1" applyBorder="1" applyAlignment="1">
      <alignment horizontal="center" wrapText="1"/>
    </xf>
    <xf numFmtId="0" fontId="4" fillId="9" borderId="5" xfId="2" applyFont="1" applyFill="1" applyBorder="1" applyAlignment="1">
      <alignment horizontal="center" wrapText="1"/>
    </xf>
    <xf numFmtId="0" fontId="2" fillId="10" borderId="3" xfId="2" applyFont="1" applyFill="1" applyBorder="1" applyAlignment="1">
      <alignment horizontal="center" wrapText="1"/>
    </xf>
    <xf numFmtId="0" fontId="2" fillId="10" borderId="5" xfId="2" applyFont="1" applyFill="1" applyBorder="1" applyAlignment="1">
      <alignment horizontal="center" wrapText="1"/>
    </xf>
    <xf numFmtId="0" fontId="2" fillId="11" borderId="3" xfId="2" applyFont="1" applyFill="1" applyBorder="1" applyAlignment="1">
      <alignment horizontal="center" wrapText="1"/>
    </xf>
    <xf numFmtId="0" fontId="2" fillId="11" borderId="5" xfId="2" applyFont="1" applyFill="1" applyBorder="1" applyAlignment="1">
      <alignment horizontal="center" wrapText="1"/>
    </xf>
    <xf numFmtId="0" fontId="3" fillId="0" borderId="9" xfId="2" applyBorder="1" applyAlignment="1">
      <alignment horizontal="left" wrapText="1"/>
    </xf>
    <xf numFmtId="49" fontId="8" fillId="4" borderId="0" xfId="2" applyNumberFormat="1" applyFont="1" applyFill="1" applyAlignment="1">
      <alignment horizontal="left" vertical="center"/>
    </xf>
    <xf numFmtId="0" fontId="3" fillId="0" borderId="0" xfId="2"/>
    <xf numFmtId="0" fontId="9" fillId="0" borderId="0" xfId="2" applyFont="1" applyAlignment="1">
      <alignment horizontal="left" vertical="center"/>
    </xf>
    <xf numFmtId="49" fontId="5" fillId="4" borderId="0" xfId="2" applyNumberFormat="1" applyFont="1" applyFill="1" applyAlignment="1">
      <alignment horizontal="center" vertical="center"/>
    </xf>
    <xf numFmtId="49" fontId="6" fillId="5" borderId="0" xfId="2" applyNumberFormat="1" applyFont="1" applyFill="1" applyAlignment="1">
      <alignment horizontal="center" vertical="center"/>
    </xf>
    <xf numFmtId="49" fontId="7" fillId="6" borderId="0" xfId="2" applyNumberFormat="1" applyFont="1" applyFill="1" applyAlignment="1">
      <alignment horizontal="center" vertical="center"/>
    </xf>
  </cellXfs>
  <cellStyles count="5">
    <cellStyle name="Comma" xfId="4" builtinId="3"/>
    <cellStyle name="Comma 2" xfId="3" xr:uid="{0A0248E7-8EFF-46E6-BCB4-7B0DB0100B1E}"/>
    <cellStyle name="Input" xfId="1" builtinId="20"/>
    <cellStyle name="Normal" xfId="0" builtinId="0"/>
    <cellStyle name="Normal 2" xfId="2" xr:uid="{0AAB027A-1A1F-4D6D-B8F8-DA7D12CE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342900</xdr:colOff>
      <xdr:row>18</xdr:row>
      <xdr:rowOff>133350</xdr:rowOff>
    </xdr:from>
    <xdr:to>
      <xdr:col>4</xdr:col>
      <xdr:colOff>1022350</xdr:colOff>
      <xdr:row>23</xdr:row>
      <xdr:rowOff>15875</xdr:rowOff>
    </xdr:to>
    <xdr:sp macro="" textlink="">
      <xdr:nvSpPr>
        <xdr:cNvPr id="2" name="TextBox 1">
          <a:extLst>
            <a:ext uri="{FF2B5EF4-FFF2-40B4-BE49-F238E27FC236}">
              <a16:creationId xmlns:a16="http://schemas.microsoft.com/office/drawing/2014/main" id="{079A674A-37C5-4D34-967E-0365ED88EDD7}"/>
            </a:ext>
          </a:extLst>
        </xdr:cNvPr>
        <xdr:cNvSpPr txBox="1"/>
      </xdr:nvSpPr>
      <xdr:spPr>
        <a:xfrm>
          <a:off x="3898900" y="3943350"/>
          <a:ext cx="3822700" cy="803275"/>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this example, i have generated the CTR filtered for 2 lease contract,</a:t>
          </a:r>
          <a:r>
            <a:rPr lang="en-US" sz="1100" baseline="0"/>
            <a:t> to keep the example simple and straight forward.  however Abbott Lab  would generate this report for the entire lease portfolio.</a:t>
          </a:r>
        </a:p>
      </xdr:txBody>
    </xdr:sp>
    <xdr:clientData/>
  </xdr:twoCellAnchor>
  <xdr:twoCellAnchor>
    <xdr:from>
      <xdr:col>2</xdr:col>
      <xdr:colOff>1403350</xdr:colOff>
      <xdr:row>9</xdr:row>
      <xdr:rowOff>88901</xdr:rowOff>
    </xdr:from>
    <xdr:to>
      <xdr:col>3</xdr:col>
      <xdr:colOff>1346200</xdr:colOff>
      <xdr:row>10</xdr:row>
      <xdr:rowOff>152401</xdr:rowOff>
    </xdr:to>
    <xdr:sp macro="" textlink="">
      <xdr:nvSpPr>
        <xdr:cNvPr id="3" name="TextBox 2">
          <a:extLst>
            <a:ext uri="{FF2B5EF4-FFF2-40B4-BE49-F238E27FC236}">
              <a16:creationId xmlns:a16="http://schemas.microsoft.com/office/drawing/2014/main" id="{5C3C5944-D25D-4701-9911-916A9E7D172C}"/>
            </a:ext>
          </a:extLst>
        </xdr:cNvPr>
        <xdr:cNvSpPr txBox="1"/>
      </xdr:nvSpPr>
      <xdr:spPr>
        <a:xfrm>
          <a:off x="4959350" y="2241551"/>
          <a:ext cx="1435100" cy="2476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Filtered for period 1 </a:t>
          </a:r>
          <a:endParaRPr lang="en-US" sz="1100" baseline="0"/>
        </a:p>
      </xdr:txBody>
    </xdr:sp>
    <xdr:clientData/>
  </xdr:twoCellAnchor>
  <xdr:twoCellAnchor>
    <xdr:from>
      <xdr:col>3</xdr:col>
      <xdr:colOff>393700</xdr:colOff>
      <xdr:row>6</xdr:row>
      <xdr:rowOff>44450</xdr:rowOff>
    </xdr:from>
    <xdr:to>
      <xdr:col>3</xdr:col>
      <xdr:colOff>514350</xdr:colOff>
      <xdr:row>9</xdr:row>
      <xdr:rowOff>95250</xdr:rowOff>
    </xdr:to>
    <xdr:cxnSp macro="">
      <xdr:nvCxnSpPr>
        <xdr:cNvPr id="4" name="Straight Arrow Connector 3">
          <a:extLst>
            <a:ext uri="{FF2B5EF4-FFF2-40B4-BE49-F238E27FC236}">
              <a16:creationId xmlns:a16="http://schemas.microsoft.com/office/drawing/2014/main" id="{010FFA25-6465-4BEA-A450-FA38043092AC}"/>
            </a:ext>
          </a:extLst>
        </xdr:cNvPr>
        <xdr:cNvCxnSpPr/>
      </xdr:nvCxnSpPr>
      <xdr:spPr>
        <a:xfrm flipH="1" flipV="1">
          <a:off x="5441950" y="1644650"/>
          <a:ext cx="120650" cy="6032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5</xdr:row>
      <xdr:rowOff>0</xdr:rowOff>
    </xdr:from>
    <xdr:to>
      <xdr:col>12</xdr:col>
      <xdr:colOff>6350</xdr:colOff>
      <xdr:row>9</xdr:row>
      <xdr:rowOff>82550</xdr:rowOff>
    </xdr:to>
    <xdr:sp macro="" textlink="">
      <xdr:nvSpPr>
        <xdr:cNvPr id="2" name="TextBox 1">
          <a:extLst>
            <a:ext uri="{FF2B5EF4-FFF2-40B4-BE49-F238E27FC236}">
              <a16:creationId xmlns:a16="http://schemas.microsoft.com/office/drawing/2014/main" id="{541F66D7-C3F6-4371-9607-EA2B0CC6F845}"/>
            </a:ext>
          </a:extLst>
        </xdr:cNvPr>
        <xdr:cNvSpPr txBox="1"/>
      </xdr:nvSpPr>
      <xdr:spPr>
        <a:xfrm>
          <a:off x="10922000" y="920750"/>
          <a:ext cx="3054350" cy="8191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Create a pivot table of the data in tab 2. CTR,</a:t>
          </a:r>
          <a:r>
            <a:rPr lang="en-US" sz="1100" baseline="0"/>
            <a:t> using the pivot table set up shown on the left. </a:t>
          </a:r>
        </a:p>
      </xdr:txBody>
    </xdr:sp>
    <xdr:clientData/>
  </xdr:twoCellAnchor>
  <xdr:twoCellAnchor>
    <xdr:from>
      <xdr:col>5</xdr:col>
      <xdr:colOff>203200</xdr:colOff>
      <xdr:row>6</xdr:row>
      <xdr:rowOff>50800</xdr:rowOff>
    </xdr:from>
    <xdr:to>
      <xdr:col>7</xdr:col>
      <xdr:colOff>12700</xdr:colOff>
      <xdr:row>7</xdr:row>
      <xdr:rowOff>57150</xdr:rowOff>
    </xdr:to>
    <xdr:cxnSp macro="">
      <xdr:nvCxnSpPr>
        <xdr:cNvPr id="3" name="Straight Arrow Connector 2">
          <a:extLst>
            <a:ext uri="{FF2B5EF4-FFF2-40B4-BE49-F238E27FC236}">
              <a16:creationId xmlns:a16="http://schemas.microsoft.com/office/drawing/2014/main" id="{30EA9BA5-215E-471E-8AF7-95879A803DB5}"/>
            </a:ext>
          </a:extLst>
        </xdr:cNvPr>
        <xdr:cNvCxnSpPr/>
      </xdr:nvCxnSpPr>
      <xdr:spPr>
        <a:xfrm flipH="1">
          <a:off x="9906000" y="1155700"/>
          <a:ext cx="1028700" cy="1905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14</xdr:col>
      <xdr:colOff>139700</xdr:colOff>
      <xdr:row>4</xdr:row>
      <xdr:rowOff>139701</xdr:rowOff>
    </xdr:from>
    <xdr:to>
      <xdr:col>19</xdr:col>
      <xdr:colOff>496927</xdr:colOff>
      <xdr:row>31</xdr:row>
      <xdr:rowOff>82551</xdr:rowOff>
    </xdr:to>
    <xdr:pic>
      <xdr:nvPicPr>
        <xdr:cNvPr id="6" name="Picture 5">
          <a:extLst>
            <a:ext uri="{FF2B5EF4-FFF2-40B4-BE49-F238E27FC236}">
              <a16:creationId xmlns:a16="http://schemas.microsoft.com/office/drawing/2014/main" id="{7F98ED71-CC31-EDA5-4032-5F4CFF89A4D6}"/>
            </a:ext>
          </a:extLst>
        </xdr:cNvPr>
        <xdr:cNvPicPr>
          <a:picLocks noChangeAspect="1"/>
        </xdr:cNvPicPr>
      </xdr:nvPicPr>
      <xdr:blipFill>
        <a:blip xmlns:r="http://schemas.openxmlformats.org/officeDocument/2006/relationships" r:embed="rId1"/>
        <a:stretch>
          <a:fillRect/>
        </a:stretch>
      </xdr:blipFill>
      <xdr:spPr>
        <a:xfrm>
          <a:off x="15519400" y="876301"/>
          <a:ext cx="3405227" cy="4914900"/>
        </a:xfrm>
        <a:prstGeom prst="rect">
          <a:avLst/>
        </a:prstGeom>
      </xdr:spPr>
    </xdr:pic>
    <xdr:clientData/>
  </xdr:twoCellAnchor>
  <xdr:twoCellAnchor>
    <xdr:from>
      <xdr:col>6</xdr:col>
      <xdr:colOff>215900</xdr:colOff>
      <xdr:row>21</xdr:row>
      <xdr:rowOff>95250</xdr:rowOff>
    </xdr:from>
    <xdr:to>
      <xdr:col>8</xdr:col>
      <xdr:colOff>438150</xdr:colOff>
      <xdr:row>25</xdr:row>
      <xdr:rowOff>31750</xdr:rowOff>
    </xdr:to>
    <xdr:sp macro="" textlink="">
      <xdr:nvSpPr>
        <xdr:cNvPr id="4" name="TextBox 3">
          <a:extLst>
            <a:ext uri="{FF2B5EF4-FFF2-40B4-BE49-F238E27FC236}">
              <a16:creationId xmlns:a16="http://schemas.microsoft.com/office/drawing/2014/main" id="{8BD84CA6-6DBB-4D37-B78D-6C15286A40F3}"/>
            </a:ext>
          </a:extLst>
        </xdr:cNvPr>
        <xdr:cNvSpPr txBox="1"/>
      </xdr:nvSpPr>
      <xdr:spPr>
        <a:xfrm>
          <a:off x="10820400" y="3962400"/>
          <a:ext cx="1441450" cy="6731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Exclude P&amp;L accounts from the analysis </a:t>
          </a:r>
          <a:endParaRPr lang="en-US" sz="1100" baseline="0"/>
        </a:p>
      </xdr:txBody>
    </xdr:sp>
    <xdr:clientData/>
  </xdr:twoCellAnchor>
  <xdr:twoCellAnchor>
    <xdr:from>
      <xdr:col>5</xdr:col>
      <xdr:colOff>292100</xdr:colOff>
      <xdr:row>24</xdr:row>
      <xdr:rowOff>6350</xdr:rowOff>
    </xdr:from>
    <xdr:to>
      <xdr:col>6</xdr:col>
      <xdr:colOff>120650</xdr:colOff>
      <xdr:row>24</xdr:row>
      <xdr:rowOff>139700</xdr:rowOff>
    </xdr:to>
    <xdr:cxnSp macro="">
      <xdr:nvCxnSpPr>
        <xdr:cNvPr id="5" name="Straight Arrow Connector 4">
          <a:extLst>
            <a:ext uri="{FF2B5EF4-FFF2-40B4-BE49-F238E27FC236}">
              <a16:creationId xmlns:a16="http://schemas.microsoft.com/office/drawing/2014/main" id="{97D28788-62DB-4608-9025-9FF972F8CCD9}"/>
            </a:ext>
          </a:extLst>
        </xdr:cNvPr>
        <xdr:cNvCxnSpPr/>
      </xdr:nvCxnSpPr>
      <xdr:spPr>
        <a:xfrm flipH="1">
          <a:off x="10287000" y="4425950"/>
          <a:ext cx="438150" cy="1333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1200150</xdr:colOff>
      <xdr:row>24</xdr:row>
      <xdr:rowOff>127000</xdr:rowOff>
    </xdr:from>
    <xdr:to>
      <xdr:col>1</xdr:col>
      <xdr:colOff>3060700</xdr:colOff>
      <xdr:row>26</xdr:row>
      <xdr:rowOff>120650</xdr:rowOff>
    </xdr:to>
    <xdr:sp macro="" textlink="">
      <xdr:nvSpPr>
        <xdr:cNvPr id="2" name="TextBox 1">
          <a:extLst>
            <a:ext uri="{FF2B5EF4-FFF2-40B4-BE49-F238E27FC236}">
              <a16:creationId xmlns:a16="http://schemas.microsoft.com/office/drawing/2014/main" id="{EB909BDD-01DE-49E6-9106-FD5061E52A5E}"/>
            </a:ext>
          </a:extLst>
        </xdr:cNvPr>
        <xdr:cNvSpPr txBox="1"/>
      </xdr:nvSpPr>
      <xdr:spPr>
        <a:xfrm>
          <a:off x="1200150" y="4940300"/>
          <a:ext cx="3168650" cy="3619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1. Enter the GL account # &amp; names from tab 3 here </a:t>
          </a:r>
        </a:p>
        <a:p>
          <a:endParaRPr lang="en-US" sz="1100"/>
        </a:p>
      </xdr:txBody>
    </xdr:sp>
    <xdr:clientData/>
  </xdr:twoCellAnchor>
  <xdr:twoCellAnchor>
    <xdr:from>
      <xdr:col>0</xdr:col>
      <xdr:colOff>1187450</xdr:colOff>
      <xdr:row>14</xdr:row>
      <xdr:rowOff>95250</xdr:rowOff>
    </xdr:from>
    <xdr:to>
      <xdr:col>1</xdr:col>
      <xdr:colOff>552450</xdr:colOff>
      <xdr:row>24</xdr:row>
      <xdr:rowOff>63500</xdr:rowOff>
    </xdr:to>
    <xdr:cxnSp macro="">
      <xdr:nvCxnSpPr>
        <xdr:cNvPr id="3" name="Straight Arrow Connector 2">
          <a:extLst>
            <a:ext uri="{FF2B5EF4-FFF2-40B4-BE49-F238E27FC236}">
              <a16:creationId xmlns:a16="http://schemas.microsoft.com/office/drawing/2014/main" id="{D40443FB-745D-4E43-9F7F-5EA4B2606818}"/>
            </a:ext>
          </a:extLst>
        </xdr:cNvPr>
        <xdr:cNvCxnSpPr/>
      </xdr:nvCxnSpPr>
      <xdr:spPr>
        <a:xfrm flipH="1" flipV="1">
          <a:off x="1187450" y="3067050"/>
          <a:ext cx="673100" cy="18097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152400</xdr:colOff>
      <xdr:row>26</xdr:row>
      <xdr:rowOff>114300</xdr:rowOff>
    </xdr:from>
    <xdr:to>
      <xdr:col>3</xdr:col>
      <xdr:colOff>1339850</xdr:colOff>
      <xdr:row>29</xdr:row>
      <xdr:rowOff>120650</xdr:rowOff>
    </xdr:to>
    <xdr:sp macro="" textlink="">
      <xdr:nvSpPr>
        <xdr:cNvPr id="4" name="TextBox 3">
          <a:extLst>
            <a:ext uri="{FF2B5EF4-FFF2-40B4-BE49-F238E27FC236}">
              <a16:creationId xmlns:a16="http://schemas.microsoft.com/office/drawing/2014/main" id="{90B6CABA-0612-465D-97A1-C2AE193F01E6}"/>
            </a:ext>
          </a:extLst>
        </xdr:cNvPr>
        <xdr:cNvSpPr txBox="1"/>
      </xdr:nvSpPr>
      <xdr:spPr>
        <a:xfrm>
          <a:off x="4724400" y="5295900"/>
          <a:ext cx="3168650" cy="5588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2. Account Type and the monetary status do not come from the CTR and were entered manually </a:t>
          </a:r>
        </a:p>
        <a:p>
          <a:endParaRPr lang="en-US" sz="1100"/>
        </a:p>
      </xdr:txBody>
    </xdr:sp>
    <xdr:clientData/>
  </xdr:twoCellAnchor>
  <xdr:twoCellAnchor>
    <xdr:from>
      <xdr:col>2</xdr:col>
      <xdr:colOff>1638300</xdr:colOff>
      <xdr:row>14</xdr:row>
      <xdr:rowOff>152400</xdr:rowOff>
    </xdr:from>
    <xdr:to>
      <xdr:col>2</xdr:col>
      <xdr:colOff>1736725</xdr:colOff>
      <xdr:row>26</xdr:row>
      <xdr:rowOff>114300</xdr:rowOff>
    </xdr:to>
    <xdr:cxnSp macro="">
      <xdr:nvCxnSpPr>
        <xdr:cNvPr id="5" name="Straight Arrow Connector 4">
          <a:extLst>
            <a:ext uri="{FF2B5EF4-FFF2-40B4-BE49-F238E27FC236}">
              <a16:creationId xmlns:a16="http://schemas.microsoft.com/office/drawing/2014/main" id="{C634CF4E-2A4A-4BCF-A5C8-DB88EF36BEDA}"/>
            </a:ext>
          </a:extLst>
        </xdr:cNvPr>
        <xdr:cNvCxnSpPr>
          <a:stCxn id="4" idx="0"/>
        </xdr:cNvCxnSpPr>
      </xdr:nvCxnSpPr>
      <xdr:spPr>
        <a:xfrm flipH="1" flipV="1">
          <a:off x="6210300" y="3124200"/>
          <a:ext cx="98425" cy="2171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88900</xdr:colOff>
      <xdr:row>27</xdr:row>
      <xdr:rowOff>25400</xdr:rowOff>
    </xdr:from>
    <xdr:to>
      <xdr:col>6</xdr:col>
      <xdr:colOff>1174750</xdr:colOff>
      <xdr:row>30</xdr:row>
      <xdr:rowOff>31750</xdr:rowOff>
    </xdr:to>
    <xdr:sp macro="" textlink="">
      <xdr:nvSpPr>
        <xdr:cNvPr id="6" name="TextBox 5">
          <a:extLst>
            <a:ext uri="{FF2B5EF4-FFF2-40B4-BE49-F238E27FC236}">
              <a16:creationId xmlns:a16="http://schemas.microsoft.com/office/drawing/2014/main" id="{E02E6CF5-755E-4EF1-96E0-99451442A25C}"/>
            </a:ext>
          </a:extLst>
        </xdr:cNvPr>
        <xdr:cNvSpPr txBox="1"/>
      </xdr:nvSpPr>
      <xdr:spPr>
        <a:xfrm>
          <a:off x="9226550" y="5391150"/>
          <a:ext cx="3168650" cy="5588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3. Enter the contract currency and the company currency balances determined on Tab 3. </a:t>
          </a:r>
        </a:p>
        <a:p>
          <a:endParaRPr lang="en-US" sz="1100"/>
        </a:p>
      </xdr:txBody>
    </xdr:sp>
    <xdr:clientData/>
  </xdr:twoCellAnchor>
  <xdr:twoCellAnchor>
    <xdr:from>
      <xdr:col>5</xdr:col>
      <xdr:colOff>1565275</xdr:colOff>
      <xdr:row>22</xdr:row>
      <xdr:rowOff>57150</xdr:rowOff>
    </xdr:from>
    <xdr:to>
      <xdr:col>5</xdr:col>
      <xdr:colOff>1720850</xdr:colOff>
      <xdr:row>27</xdr:row>
      <xdr:rowOff>25400</xdr:rowOff>
    </xdr:to>
    <xdr:cxnSp macro="">
      <xdr:nvCxnSpPr>
        <xdr:cNvPr id="7" name="Straight Arrow Connector 6">
          <a:extLst>
            <a:ext uri="{FF2B5EF4-FFF2-40B4-BE49-F238E27FC236}">
              <a16:creationId xmlns:a16="http://schemas.microsoft.com/office/drawing/2014/main" id="{2312FD9C-91E8-457D-87E6-F3C41E2F835D}"/>
            </a:ext>
          </a:extLst>
        </xdr:cNvPr>
        <xdr:cNvCxnSpPr/>
      </xdr:nvCxnSpPr>
      <xdr:spPr>
        <a:xfrm flipV="1">
          <a:off x="10702925" y="4502150"/>
          <a:ext cx="155575" cy="889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1485900</xdr:colOff>
      <xdr:row>23</xdr:row>
      <xdr:rowOff>146049</xdr:rowOff>
    </xdr:from>
    <xdr:to>
      <xdr:col>8</xdr:col>
      <xdr:colOff>1460500</xdr:colOff>
      <xdr:row>28</xdr:row>
      <xdr:rowOff>22677</xdr:rowOff>
    </xdr:to>
    <xdr:sp macro="" textlink="">
      <xdr:nvSpPr>
        <xdr:cNvPr id="8" name="TextBox 9">
          <a:extLst>
            <a:ext uri="{FF2B5EF4-FFF2-40B4-BE49-F238E27FC236}">
              <a16:creationId xmlns:a16="http://schemas.microsoft.com/office/drawing/2014/main" id="{98BFC8D3-4E05-47B2-9DED-131119B44B5A}"/>
            </a:ext>
          </a:extLst>
        </xdr:cNvPr>
        <xdr:cNvSpPr txBox="1"/>
      </xdr:nvSpPr>
      <xdr:spPr>
        <a:xfrm>
          <a:off x="12706350" y="4775199"/>
          <a:ext cx="3536950" cy="797378"/>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4. The rates have been inputted here as guidance and represent the accurate rates for these GL accounts, however please ensure this is updated based on your organization's</a:t>
          </a:r>
        </a:p>
        <a:p>
          <a:r>
            <a:rPr lang="en-US" sz="1100" baseline="0"/>
            <a:t> GL accounts.</a:t>
          </a:r>
        </a:p>
      </xdr:txBody>
    </xdr:sp>
    <xdr:clientData/>
  </xdr:twoCellAnchor>
  <xdr:twoCellAnchor>
    <xdr:from>
      <xdr:col>7</xdr:col>
      <xdr:colOff>1333500</xdr:colOff>
      <xdr:row>14</xdr:row>
      <xdr:rowOff>95250</xdr:rowOff>
    </xdr:from>
    <xdr:to>
      <xdr:col>7</xdr:col>
      <xdr:colOff>1400175</xdr:colOff>
      <xdr:row>23</xdr:row>
      <xdr:rowOff>146049</xdr:rowOff>
    </xdr:to>
    <xdr:cxnSp macro="">
      <xdr:nvCxnSpPr>
        <xdr:cNvPr id="9" name="Straight Arrow Connector 8">
          <a:extLst>
            <a:ext uri="{FF2B5EF4-FFF2-40B4-BE49-F238E27FC236}">
              <a16:creationId xmlns:a16="http://schemas.microsoft.com/office/drawing/2014/main" id="{7B5047B6-8773-43DF-A97F-E9C07B6E5C29}"/>
            </a:ext>
          </a:extLst>
        </xdr:cNvPr>
        <xdr:cNvCxnSpPr>
          <a:stCxn id="8" idx="0"/>
        </xdr:cNvCxnSpPr>
      </xdr:nvCxnSpPr>
      <xdr:spPr>
        <a:xfrm flipH="1" flipV="1">
          <a:off x="14408150" y="3067050"/>
          <a:ext cx="66675" cy="170814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1581150</xdr:colOff>
      <xdr:row>24</xdr:row>
      <xdr:rowOff>133350</xdr:rowOff>
    </xdr:from>
    <xdr:to>
      <xdr:col>9</xdr:col>
      <xdr:colOff>1130300</xdr:colOff>
      <xdr:row>30</xdr:row>
      <xdr:rowOff>139700</xdr:rowOff>
    </xdr:to>
    <xdr:sp macro="" textlink="">
      <xdr:nvSpPr>
        <xdr:cNvPr id="10" name="TextBox 9">
          <a:extLst>
            <a:ext uri="{FF2B5EF4-FFF2-40B4-BE49-F238E27FC236}">
              <a16:creationId xmlns:a16="http://schemas.microsoft.com/office/drawing/2014/main" id="{9600B928-03D1-48C0-8148-9DC240764FAF}"/>
            </a:ext>
          </a:extLst>
        </xdr:cNvPr>
        <xdr:cNvSpPr txBox="1"/>
      </xdr:nvSpPr>
      <xdr:spPr>
        <a:xfrm>
          <a:off x="16363950" y="4946650"/>
          <a:ext cx="1593850" cy="11112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5. enter the period end and historical rates, as applicable.</a:t>
          </a:r>
        </a:p>
        <a:p>
          <a:r>
            <a:rPr lang="en-US" sz="1000" baseline="0">
              <a:solidFill>
                <a:srgbClr val="FF0000"/>
              </a:solidFill>
            </a:rPr>
            <a:t>Note: the rates used in this example are mock and do not represent real fx rates. </a:t>
          </a:r>
        </a:p>
      </xdr:txBody>
    </xdr:sp>
    <xdr:clientData/>
  </xdr:twoCellAnchor>
  <xdr:twoCellAnchor>
    <xdr:from>
      <xdr:col>8</xdr:col>
      <xdr:colOff>1428750</xdr:colOff>
      <xdr:row>12</xdr:row>
      <xdr:rowOff>95250</xdr:rowOff>
    </xdr:from>
    <xdr:to>
      <xdr:col>9</xdr:col>
      <xdr:colOff>250825</xdr:colOff>
      <xdr:row>24</xdr:row>
      <xdr:rowOff>133350</xdr:rowOff>
    </xdr:to>
    <xdr:cxnSp macro="">
      <xdr:nvCxnSpPr>
        <xdr:cNvPr id="11" name="Straight Arrow Connector 10">
          <a:extLst>
            <a:ext uri="{FF2B5EF4-FFF2-40B4-BE49-F238E27FC236}">
              <a16:creationId xmlns:a16="http://schemas.microsoft.com/office/drawing/2014/main" id="{F2E237AB-960C-477B-AD01-966E48D4729F}"/>
            </a:ext>
          </a:extLst>
        </xdr:cNvPr>
        <xdr:cNvCxnSpPr/>
      </xdr:nvCxnSpPr>
      <xdr:spPr>
        <a:xfrm flipH="1" flipV="1">
          <a:off x="16211550" y="2698750"/>
          <a:ext cx="866775" cy="2247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1276350</xdr:colOff>
      <xdr:row>26</xdr:row>
      <xdr:rowOff>171450</xdr:rowOff>
    </xdr:from>
    <xdr:to>
      <xdr:col>10</xdr:col>
      <xdr:colOff>1022350</xdr:colOff>
      <xdr:row>30</xdr:row>
      <xdr:rowOff>25400</xdr:rowOff>
    </xdr:to>
    <xdr:sp macro="" textlink="">
      <xdr:nvSpPr>
        <xdr:cNvPr id="12" name="TextBox 11">
          <a:extLst>
            <a:ext uri="{FF2B5EF4-FFF2-40B4-BE49-F238E27FC236}">
              <a16:creationId xmlns:a16="http://schemas.microsoft.com/office/drawing/2014/main" id="{5761007F-D673-4416-8E56-F5255F622327}"/>
            </a:ext>
          </a:extLst>
        </xdr:cNvPr>
        <xdr:cNvSpPr txBox="1"/>
      </xdr:nvSpPr>
      <xdr:spPr>
        <a:xfrm>
          <a:off x="18103850" y="5353050"/>
          <a:ext cx="1600200" cy="5905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6. Calculate the re-measurement balance</a:t>
          </a:r>
        </a:p>
      </xdr:txBody>
    </xdr:sp>
    <xdr:clientData/>
  </xdr:twoCellAnchor>
  <xdr:twoCellAnchor>
    <xdr:from>
      <xdr:col>9</xdr:col>
      <xdr:colOff>1746250</xdr:colOff>
      <xdr:row>13</xdr:row>
      <xdr:rowOff>69850</xdr:rowOff>
    </xdr:from>
    <xdr:to>
      <xdr:col>10</xdr:col>
      <xdr:colOff>222250</xdr:colOff>
      <xdr:row>26</xdr:row>
      <xdr:rowOff>171450</xdr:rowOff>
    </xdr:to>
    <xdr:cxnSp macro="">
      <xdr:nvCxnSpPr>
        <xdr:cNvPr id="13" name="Straight Arrow Connector 12">
          <a:extLst>
            <a:ext uri="{FF2B5EF4-FFF2-40B4-BE49-F238E27FC236}">
              <a16:creationId xmlns:a16="http://schemas.microsoft.com/office/drawing/2014/main" id="{84697686-0C67-4FA3-9C1F-31CD620D96A0}"/>
            </a:ext>
          </a:extLst>
        </xdr:cNvPr>
        <xdr:cNvCxnSpPr>
          <a:stCxn id="12" idx="0"/>
        </xdr:cNvCxnSpPr>
      </xdr:nvCxnSpPr>
      <xdr:spPr>
        <a:xfrm flipH="1" flipV="1">
          <a:off x="18573750" y="2857500"/>
          <a:ext cx="330200" cy="24955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1333500</xdr:colOff>
      <xdr:row>12</xdr:row>
      <xdr:rowOff>152400</xdr:rowOff>
    </xdr:from>
    <xdr:to>
      <xdr:col>12</xdr:col>
      <xdr:colOff>323850</xdr:colOff>
      <xdr:row>24</xdr:row>
      <xdr:rowOff>171450</xdr:rowOff>
    </xdr:to>
    <xdr:cxnSp macro="">
      <xdr:nvCxnSpPr>
        <xdr:cNvPr id="14" name="Straight Arrow Connector 13">
          <a:extLst>
            <a:ext uri="{FF2B5EF4-FFF2-40B4-BE49-F238E27FC236}">
              <a16:creationId xmlns:a16="http://schemas.microsoft.com/office/drawing/2014/main" id="{0092CF7F-E9B9-4931-B9F5-0B9CF24D1813}"/>
            </a:ext>
          </a:extLst>
        </xdr:cNvPr>
        <xdr:cNvCxnSpPr>
          <a:stCxn id="15" idx="0"/>
        </xdr:cNvCxnSpPr>
      </xdr:nvCxnSpPr>
      <xdr:spPr>
        <a:xfrm flipH="1" flipV="1">
          <a:off x="20015200" y="2755900"/>
          <a:ext cx="1384300" cy="22288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1536700</xdr:colOff>
      <xdr:row>24</xdr:row>
      <xdr:rowOff>171450</xdr:rowOff>
    </xdr:from>
    <xdr:to>
      <xdr:col>14</xdr:col>
      <xdr:colOff>0</xdr:colOff>
      <xdr:row>31</xdr:row>
      <xdr:rowOff>127000</xdr:rowOff>
    </xdr:to>
    <xdr:sp macro="" textlink="">
      <xdr:nvSpPr>
        <xdr:cNvPr id="15" name="TextBox 14">
          <a:extLst>
            <a:ext uri="{FF2B5EF4-FFF2-40B4-BE49-F238E27FC236}">
              <a16:creationId xmlns:a16="http://schemas.microsoft.com/office/drawing/2014/main" id="{5472DD96-E514-4B90-867B-E1AEAB87D5CF}"/>
            </a:ext>
          </a:extLst>
        </xdr:cNvPr>
        <xdr:cNvSpPr txBox="1"/>
      </xdr:nvSpPr>
      <xdr:spPr>
        <a:xfrm>
          <a:off x="20218400" y="4984750"/>
          <a:ext cx="2362200" cy="12446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7. Calculate the difference between the initial measurement company currency balance and the remeasured company currency balance. </a:t>
          </a:r>
        </a:p>
        <a:p>
          <a:r>
            <a:rPr lang="en-US" sz="1100" baseline="0"/>
            <a:t>note: there should be no difference for non-monetary accounts. </a:t>
          </a:r>
        </a:p>
      </xdr:txBody>
    </xdr:sp>
    <xdr:clientData/>
  </xdr:twoCellAnchor>
  <xdr:twoCellAnchor>
    <xdr:from>
      <xdr:col>8</xdr:col>
      <xdr:colOff>368300</xdr:colOff>
      <xdr:row>52</xdr:row>
      <xdr:rowOff>12700</xdr:rowOff>
    </xdr:from>
    <xdr:to>
      <xdr:col>9</xdr:col>
      <xdr:colOff>1009650</xdr:colOff>
      <xdr:row>54</xdr:row>
      <xdr:rowOff>95250</xdr:rowOff>
    </xdr:to>
    <xdr:sp macro="" textlink="">
      <xdr:nvSpPr>
        <xdr:cNvPr id="16" name="TextBox 15">
          <a:extLst>
            <a:ext uri="{FF2B5EF4-FFF2-40B4-BE49-F238E27FC236}">
              <a16:creationId xmlns:a16="http://schemas.microsoft.com/office/drawing/2014/main" id="{2FF6523E-335F-4C57-B6A3-6CA0E5735F78}"/>
            </a:ext>
          </a:extLst>
        </xdr:cNvPr>
        <xdr:cNvSpPr txBox="1"/>
      </xdr:nvSpPr>
      <xdr:spPr>
        <a:xfrm>
          <a:off x="15157450" y="9798050"/>
          <a:ext cx="2686050" cy="4508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8. Journal entry to record the (gain) Loss on FX remeasurement </a:t>
          </a:r>
        </a:p>
      </xdr:txBody>
    </xdr:sp>
    <xdr:clientData/>
  </xdr:twoCellAnchor>
  <xdr:twoCellAnchor>
    <xdr:from>
      <xdr:col>7</xdr:col>
      <xdr:colOff>1289050</xdr:colOff>
      <xdr:row>50</xdr:row>
      <xdr:rowOff>95250</xdr:rowOff>
    </xdr:from>
    <xdr:to>
      <xdr:col>8</xdr:col>
      <xdr:colOff>323850</xdr:colOff>
      <xdr:row>53</xdr:row>
      <xdr:rowOff>0</xdr:rowOff>
    </xdr:to>
    <xdr:cxnSp macro="">
      <xdr:nvCxnSpPr>
        <xdr:cNvPr id="17" name="Straight Arrow Connector 16">
          <a:extLst>
            <a:ext uri="{FF2B5EF4-FFF2-40B4-BE49-F238E27FC236}">
              <a16:creationId xmlns:a16="http://schemas.microsoft.com/office/drawing/2014/main" id="{E77A5881-9111-46A5-BE17-FEF8F13EE4C2}"/>
            </a:ext>
          </a:extLst>
        </xdr:cNvPr>
        <xdr:cNvCxnSpPr/>
      </xdr:nvCxnSpPr>
      <xdr:spPr>
        <a:xfrm flipH="1" flipV="1">
          <a:off x="14363700" y="9696450"/>
          <a:ext cx="742950" cy="4762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603250</xdr:colOff>
      <xdr:row>10</xdr:row>
      <xdr:rowOff>0</xdr:rowOff>
    </xdr:from>
    <xdr:to>
      <xdr:col>4</xdr:col>
      <xdr:colOff>793750</xdr:colOff>
      <xdr:row>13</xdr:row>
      <xdr:rowOff>114299</xdr:rowOff>
    </xdr:to>
    <xdr:sp macro="" textlink="">
      <xdr:nvSpPr>
        <xdr:cNvPr id="2" name="TextBox 1">
          <a:extLst>
            <a:ext uri="{FF2B5EF4-FFF2-40B4-BE49-F238E27FC236}">
              <a16:creationId xmlns:a16="http://schemas.microsoft.com/office/drawing/2014/main" id="{36947506-FFC6-4857-B155-AEC66FB4773B}"/>
            </a:ext>
          </a:extLst>
        </xdr:cNvPr>
        <xdr:cNvSpPr txBox="1"/>
      </xdr:nvSpPr>
      <xdr:spPr>
        <a:xfrm>
          <a:off x="5651500" y="2336800"/>
          <a:ext cx="1841500" cy="666749"/>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Generated for "all time" </a:t>
          </a:r>
        </a:p>
        <a:p>
          <a:r>
            <a:rPr lang="en-US" sz="1100" baseline="0"/>
            <a:t>Go live date to end of current period. </a:t>
          </a:r>
        </a:p>
      </xdr:txBody>
    </xdr:sp>
    <xdr:clientData/>
  </xdr:twoCellAnchor>
  <xdr:twoCellAnchor>
    <xdr:from>
      <xdr:col>3</xdr:col>
      <xdr:colOff>1085850</xdr:colOff>
      <xdr:row>6</xdr:row>
      <xdr:rowOff>139700</xdr:rowOff>
    </xdr:from>
    <xdr:to>
      <xdr:col>3</xdr:col>
      <xdr:colOff>1206500</xdr:colOff>
      <xdr:row>10</xdr:row>
      <xdr:rowOff>6350</xdr:rowOff>
    </xdr:to>
    <xdr:cxnSp macro="">
      <xdr:nvCxnSpPr>
        <xdr:cNvPr id="3" name="Straight Arrow Connector 2">
          <a:extLst>
            <a:ext uri="{FF2B5EF4-FFF2-40B4-BE49-F238E27FC236}">
              <a16:creationId xmlns:a16="http://schemas.microsoft.com/office/drawing/2014/main" id="{093A5B12-E836-4933-BAE4-1DD6F0738828}"/>
            </a:ext>
          </a:extLst>
        </xdr:cNvPr>
        <xdr:cNvCxnSpPr/>
      </xdr:nvCxnSpPr>
      <xdr:spPr>
        <a:xfrm flipH="1" flipV="1">
          <a:off x="6134100" y="1739900"/>
          <a:ext cx="120650" cy="6032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301625</xdr:colOff>
      <xdr:row>1</xdr:row>
      <xdr:rowOff>146050</xdr:rowOff>
    </xdr:from>
    <xdr:to>
      <xdr:col>13</xdr:col>
      <xdr:colOff>434975</xdr:colOff>
      <xdr:row>7</xdr:row>
      <xdr:rowOff>3175</xdr:rowOff>
    </xdr:to>
    <xdr:sp macro="" textlink="">
      <xdr:nvSpPr>
        <xdr:cNvPr id="2" name="TextBox 1">
          <a:extLst>
            <a:ext uri="{FF2B5EF4-FFF2-40B4-BE49-F238E27FC236}">
              <a16:creationId xmlns:a16="http://schemas.microsoft.com/office/drawing/2014/main" id="{9F0AED40-E683-4BA8-95F8-6D1DC49EAFDF}"/>
            </a:ext>
          </a:extLst>
        </xdr:cNvPr>
        <xdr:cNvSpPr txBox="1"/>
      </xdr:nvSpPr>
      <xdr:spPr>
        <a:xfrm>
          <a:off x="16798925" y="330200"/>
          <a:ext cx="3181350" cy="962025"/>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a:t>
          </a:r>
          <a:r>
            <a:rPr lang="en-US" sz="1100" baseline="0"/>
            <a:t> all periods except for period 1, under the fiscal period filter, i include all fiscal period 2 + any fiscal periods that came before it (this way it is showing a true closing balance for period 2 and not just presenting period 2's transactions)</a:t>
          </a:r>
        </a:p>
        <a:p>
          <a:endParaRPr lang="en-US" sz="1100"/>
        </a:p>
      </xdr:txBody>
    </xdr:sp>
    <xdr:clientData/>
  </xdr:twoCellAnchor>
  <xdr:twoCellAnchor>
    <xdr:from>
      <xdr:col>2</xdr:col>
      <xdr:colOff>158750</xdr:colOff>
      <xdr:row>1</xdr:row>
      <xdr:rowOff>76200</xdr:rowOff>
    </xdr:from>
    <xdr:to>
      <xdr:col>8</xdr:col>
      <xdr:colOff>269875</xdr:colOff>
      <xdr:row>2</xdr:row>
      <xdr:rowOff>107950</xdr:rowOff>
    </xdr:to>
    <xdr:cxnSp macro="">
      <xdr:nvCxnSpPr>
        <xdr:cNvPr id="3" name="Straight Arrow Connector 2">
          <a:extLst>
            <a:ext uri="{FF2B5EF4-FFF2-40B4-BE49-F238E27FC236}">
              <a16:creationId xmlns:a16="http://schemas.microsoft.com/office/drawing/2014/main" id="{0B85C3A0-D5D2-4629-A04C-0ACA4C8FAC2C}"/>
            </a:ext>
          </a:extLst>
        </xdr:cNvPr>
        <xdr:cNvCxnSpPr/>
      </xdr:nvCxnSpPr>
      <xdr:spPr>
        <a:xfrm flipH="1" flipV="1">
          <a:off x="4330700" y="260350"/>
          <a:ext cx="12436475" cy="215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1704975</xdr:colOff>
      <xdr:row>31</xdr:row>
      <xdr:rowOff>12700</xdr:rowOff>
    </xdr:from>
    <xdr:to>
      <xdr:col>6</xdr:col>
      <xdr:colOff>1790700</xdr:colOff>
      <xdr:row>35</xdr:row>
      <xdr:rowOff>107950</xdr:rowOff>
    </xdr:to>
    <xdr:sp macro="" textlink="">
      <xdr:nvSpPr>
        <xdr:cNvPr id="5" name="TextBox 4">
          <a:extLst>
            <a:ext uri="{FF2B5EF4-FFF2-40B4-BE49-F238E27FC236}">
              <a16:creationId xmlns:a16="http://schemas.microsoft.com/office/drawing/2014/main" id="{F3BCBC3C-7EB0-4E7C-A9AD-66302F791250}"/>
            </a:ext>
          </a:extLst>
        </xdr:cNvPr>
        <xdr:cNvSpPr txBox="1"/>
      </xdr:nvSpPr>
      <xdr:spPr>
        <a:xfrm>
          <a:off x="11953875" y="5721350"/>
          <a:ext cx="2867025" cy="83185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These columns</a:t>
          </a:r>
          <a:r>
            <a:rPr lang="en-US" sz="1100" baseline="0"/>
            <a:t> were manually added, to taken into consideration the Fx (gain) losses that were posted in previous periods. </a:t>
          </a:r>
          <a:endParaRPr lang="en-US" sz="1100"/>
        </a:p>
      </xdr:txBody>
    </xdr:sp>
    <xdr:clientData/>
  </xdr:twoCellAnchor>
  <xdr:twoCellAnchor>
    <xdr:from>
      <xdr:col>6</xdr:col>
      <xdr:colOff>203200</xdr:colOff>
      <xdr:row>23</xdr:row>
      <xdr:rowOff>177800</xdr:rowOff>
    </xdr:from>
    <xdr:to>
      <xdr:col>6</xdr:col>
      <xdr:colOff>219075</xdr:colOff>
      <xdr:row>30</xdr:row>
      <xdr:rowOff>171450</xdr:rowOff>
    </xdr:to>
    <xdr:cxnSp macro="">
      <xdr:nvCxnSpPr>
        <xdr:cNvPr id="6" name="Straight Arrow Connector 5">
          <a:extLst>
            <a:ext uri="{FF2B5EF4-FFF2-40B4-BE49-F238E27FC236}">
              <a16:creationId xmlns:a16="http://schemas.microsoft.com/office/drawing/2014/main" id="{78A713FC-883C-4E5B-9C96-F611F395D7C8}"/>
            </a:ext>
          </a:extLst>
        </xdr:cNvPr>
        <xdr:cNvCxnSpPr/>
      </xdr:nvCxnSpPr>
      <xdr:spPr>
        <a:xfrm flipH="1" flipV="1">
          <a:off x="13233400" y="4413250"/>
          <a:ext cx="15875" cy="1282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107950</xdr:colOff>
      <xdr:row>19</xdr:row>
      <xdr:rowOff>114300</xdr:rowOff>
    </xdr:from>
    <xdr:to>
      <xdr:col>12</xdr:col>
      <xdr:colOff>330200</xdr:colOff>
      <xdr:row>23</xdr:row>
      <xdr:rowOff>50800</xdr:rowOff>
    </xdr:to>
    <xdr:sp macro="" textlink="">
      <xdr:nvSpPr>
        <xdr:cNvPr id="9" name="TextBox 8">
          <a:extLst>
            <a:ext uri="{FF2B5EF4-FFF2-40B4-BE49-F238E27FC236}">
              <a16:creationId xmlns:a16="http://schemas.microsoft.com/office/drawing/2014/main" id="{5A5A6F9A-62F5-408B-AC8B-A9A847E35F0F}"/>
            </a:ext>
          </a:extLst>
        </xdr:cNvPr>
        <xdr:cNvSpPr txBox="1"/>
      </xdr:nvSpPr>
      <xdr:spPr>
        <a:xfrm>
          <a:off x="17824450" y="3613150"/>
          <a:ext cx="1441450" cy="673100"/>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Exclude P&amp;L accounts from the analysis </a:t>
          </a:r>
          <a:endParaRPr lang="en-US" sz="1100" baseline="0"/>
        </a:p>
      </xdr:txBody>
    </xdr:sp>
    <xdr:clientData/>
  </xdr:twoCellAnchor>
  <xdr:twoCellAnchor>
    <xdr:from>
      <xdr:col>9</xdr:col>
      <xdr:colOff>184150</xdr:colOff>
      <xdr:row>22</xdr:row>
      <xdr:rowOff>25400</xdr:rowOff>
    </xdr:from>
    <xdr:to>
      <xdr:col>10</xdr:col>
      <xdr:colOff>12700</xdr:colOff>
      <xdr:row>22</xdr:row>
      <xdr:rowOff>158750</xdr:rowOff>
    </xdr:to>
    <xdr:cxnSp macro="">
      <xdr:nvCxnSpPr>
        <xdr:cNvPr id="10" name="Straight Arrow Connector 9">
          <a:extLst>
            <a:ext uri="{FF2B5EF4-FFF2-40B4-BE49-F238E27FC236}">
              <a16:creationId xmlns:a16="http://schemas.microsoft.com/office/drawing/2014/main" id="{21A4777B-CE23-4E28-8B1A-FC50FBA6406D}"/>
            </a:ext>
          </a:extLst>
        </xdr:cNvPr>
        <xdr:cNvCxnSpPr/>
      </xdr:nvCxnSpPr>
      <xdr:spPr>
        <a:xfrm flipH="1">
          <a:off x="17291050" y="4076700"/>
          <a:ext cx="438150" cy="13335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ley Wilson" refreshedDate="46037.574975925927" createdVersion="8" refreshedVersion="8" minRefreshableVersion="3" recordCount="58" xr:uid="{E057622D-3B06-4E90-AF87-57C6DAA92ECC}">
  <cacheSource type="worksheet">
    <worksheetSource ref="A27:BK85" sheet="2. CTR P1"/>
  </cacheSource>
  <cacheFields count="63">
    <cacheField name="System" numFmtId="0">
      <sharedItems/>
    </cacheField>
    <cacheField name="Lease Area" numFmtId="0">
      <sharedItems/>
    </cacheField>
    <cacheField name="Business Unit" numFmtId="0">
      <sharedItems/>
    </cacheField>
    <cacheField name="Lease Department" numFmtId="0">
      <sharedItems containsNonDate="0" containsString="0" containsBlank="1"/>
    </cacheField>
    <cacheField name="Unit Cost Center" numFmtId="0">
      <sharedItems containsBlank="1"/>
    </cacheField>
    <cacheField name="Unit Profit Center" numFmtId="0">
      <sharedItems/>
    </cacheField>
    <cacheField name="Unit Responsible Cost Center" numFmtId="0">
      <sharedItems containsNonDate="0" containsString="0" containsBlank="1"/>
    </cacheField>
    <cacheField name="WBS" numFmtId="0">
      <sharedItems containsNonDate="0" containsString="0" containsBlank="1"/>
    </cacheField>
    <cacheField name="Business Area" numFmtId="0">
      <sharedItems containsNonDate="0" containsString="0" containsBlank="1"/>
    </cacheField>
    <cacheField name="Functional Area" numFmtId="0">
      <sharedItems containsNonDate="0" containsString="0" containsBlank="1"/>
    </cacheField>
    <cacheField name="Segment" numFmtId="0">
      <sharedItems containsNonDate="0" containsString="0" containsBlank="1"/>
    </cacheField>
    <cacheField name="Source" numFmtId="0">
      <sharedItems/>
    </cacheField>
    <cacheField name="Purchase Organization" numFmtId="0">
      <sharedItems containsNonDate="0" containsString="0" containsBlank="1"/>
    </cacheField>
    <cacheField name="Purchase Order" numFmtId="0">
      <sharedItems containsNonDate="0" containsString="0" containsBlank="1"/>
    </cacheField>
    <cacheField name="Transaction Type" numFmtId="0">
      <sharedItems/>
    </cacheField>
    <cacheField name="Transaction Type Value" numFmtId="0">
      <sharedItems/>
    </cacheField>
    <cacheField name="Contract ID" numFmtId="0">
      <sharedItems/>
    </cacheField>
    <cacheField name="Contract Name" numFmtId="0">
      <sharedItems/>
    </cacheField>
    <cacheField name="Lease Component ID" numFmtId="0">
      <sharedItems/>
    </cacheField>
    <cacheField name="Activation Group ID" numFmtId="0">
      <sharedItems/>
    </cacheField>
    <cacheField name="External Contract Reference" numFmtId="0">
      <sharedItems containsNonDate="0" containsString="0" containsBlank="1"/>
    </cacheField>
    <cacheField name="Contract Cost Center" numFmtId="0">
      <sharedItems/>
    </cacheField>
    <cacheField name="Principal Position" numFmtId="0">
      <sharedItems/>
    </cacheField>
    <cacheField name="Company Code" numFmtId="0">
      <sharedItems/>
    </cacheField>
    <cacheField name="Accounting Standard" numFmtId="0">
      <sharedItems count="2">
        <s v="IAS"/>
        <s v="GAAP"/>
      </sharedItems>
    </cacheField>
    <cacheField name="Lease Classification" numFmtId="0">
      <sharedItems/>
    </cacheField>
    <cacheField name="Internal Asset Class" numFmtId="0">
      <sharedItems/>
    </cacheField>
    <cacheField name="Unit" numFmtId="0">
      <sharedItems/>
    </cacheField>
    <cacheField name="Internal Document Number" numFmtId="0">
      <sharedItems/>
    </cacheField>
    <cacheField name="External Document Number" numFmtId="0">
      <sharedItems containsNonDate="0" containsString="0" containsBlank="1"/>
    </cacheField>
    <cacheField name="Internal Reversal Document Number" numFmtId="0">
      <sharedItems containsNonDate="0" containsString="0" containsBlank="1"/>
    </cacheField>
    <cacheField name="External Reversal Document Number" numFmtId="0">
      <sharedItems containsNonDate="0" containsString="0" containsBlank="1"/>
    </cacheField>
    <cacheField name="Original Internal Document Number" numFmtId="0">
      <sharedItems containsNonDate="0" containsString="0" containsBlank="1"/>
    </cacheField>
    <cacheField name="Original External Document Number" numFmtId="0">
      <sharedItems containsNonDate="0" containsString="0" containsBlank="1"/>
    </cacheField>
    <cacheField name="Journal State" numFmtId="0">
      <sharedItems/>
    </cacheField>
    <cacheField name="Internal Status" numFmtId="0">
      <sharedItems/>
    </cacheField>
    <cacheField name="External Status" numFmtId="0">
      <sharedItems/>
    </cacheField>
    <cacheField name="Externally Posted By" numFmtId="0">
      <sharedItems containsNonDate="0" containsString="0" containsBlank="1"/>
    </cacheField>
    <cacheField name="Fiscal Year" numFmtId="166">
      <sharedItems containsSemiMixedTypes="0" containsString="0" containsNumber="1" containsInteger="1" minValue="2025" maxValue="2025" count="1">
        <n v="2025"/>
      </sharedItems>
    </cacheField>
    <cacheField name="Fiscal Period" numFmtId="166">
      <sharedItems containsSemiMixedTypes="0" containsString="0" containsNumber="1" containsInteger="1" minValue="1" maxValue="1" count="1">
        <n v="1"/>
      </sharedItems>
    </cacheField>
    <cacheField name="Translation Date" numFmtId="165">
      <sharedItems containsSemiMixedTypes="0" containsNonDate="0" containsDate="1" containsString="0" minDate="2025-01-01T00:00:00" maxDate="2025-02-01T00:00:00"/>
    </cacheField>
    <cacheField name="Posting Date" numFmtId="165">
      <sharedItems containsSemiMixedTypes="0" containsNonDate="0" containsDate="1" containsString="0" minDate="2025-01-01T00:00:00" maxDate="2025-02-01T00:00:00"/>
    </cacheField>
    <cacheField name="Document Date" numFmtId="165">
      <sharedItems containsSemiMixedTypes="0" containsNonDate="0" containsDate="1" containsString="0" minDate="2025-01-01T00:00:00" maxDate="2025-02-01T00:00:00"/>
    </cacheField>
    <cacheField name="Document Type" numFmtId="0">
      <sharedItems/>
    </cacheField>
    <cacheField name="Depreciation Area" numFmtId="0">
      <sharedItems containsBlank="1"/>
    </cacheField>
    <cacheField name="Account Number" numFmtId="0">
      <sharedItems count="13">
        <s v="0000280903"/>
        <s v="0000159999"/>
        <s v="0000210503"/>
        <s v="0000200500"/>
        <s v="0000280900"/>
        <s v="0000280001"/>
        <s v="0000280000"/>
        <s v="0000270000"/>
        <s v="0000600000"/>
        <s v="0000710300"/>
        <s v="0000159010"/>
        <s v="0000700006"/>
        <s v="0000710500"/>
      </sharedItems>
    </cacheField>
    <cacheField name="Account Name" numFmtId="0">
      <sharedItems count="17">
        <s v="LT Lease Payable"/>
        <s v="Asset Clearing"/>
        <s v="ROU_ASSET"/>
        <s v="AP Clearing"/>
        <s v="st lease"/>
        <s v="Non-Lease Accrual"/>
        <s v="Accrued Interest"/>
        <s v="Interest"/>
        <s v="Parking"/>
        <s v="Accumulated Depreciation"/>
        <s v="DEPRECIATION"/>
        <s v="Services"/>
        <s v="AA-Asset Clearing" u="1"/>
        <s v="AP Clearing SLAN" u="1"/>
        <s v="Interest Charge/Rent" u="1"/>
        <s v="JE-AD OWN Asset-Equ" u="1"/>
        <s v="DEPRECIATION_CHARGE" u="1"/>
      </sharedItems>
    </cacheField>
    <cacheField name="Vendor" numFmtId="0">
      <sharedItems containsNonDate="0" containsString="0" containsBlank="1"/>
    </cacheField>
    <cacheField name="Trading Partner ID" numFmtId="0">
      <sharedItems containsNonDate="0" containsString="0" containsBlank="1"/>
    </cacheField>
    <cacheField name="Trading Partner Name" numFmtId="0">
      <sharedItems containsNonDate="0" containsString="0" containsBlank="1"/>
    </cacheField>
    <cacheField name="Accounting Entry" numFmtId="0">
      <sharedItems/>
    </cacheField>
    <cacheField name="Description" numFmtId="0">
      <sharedItems/>
    </cacheField>
    <cacheField name="Contract Currency" numFmtId="0">
      <sharedItems count="2">
        <s v="EUR"/>
        <s v="USD"/>
      </sharedItems>
    </cacheField>
    <cacheField name="Amount in Contract Currency" numFmtId="167">
      <sharedItems containsSemiMixedTypes="0" containsString="0" containsNumber="1" minValue="-189810.28" maxValue="189810.28"/>
    </cacheField>
    <cacheField name="Company Currency" numFmtId="0">
      <sharedItems/>
    </cacheField>
    <cacheField name="Company Currency Exchange Rate" numFmtId="168">
      <sharedItems containsSemiMixedTypes="0" containsString="0" containsNumber="1" minValue="1.37" maxValue="1.54"/>
    </cacheField>
    <cacheField name="Amount in Company Currency" numFmtId="167">
      <sharedItems containsSemiMixedTypes="0" containsString="0" containsNumber="1" minValue="-292307.83" maxValue="292307.83"/>
    </cacheField>
    <cacheField name="Group Currency 1" numFmtId="0">
      <sharedItems/>
    </cacheField>
    <cacheField name="Group Currency Exchange Rate 1" numFmtId="168">
      <sharedItems containsSemiMixedTypes="0" containsString="0" containsNumber="1" minValue="2.85" maxValue="2.85"/>
    </cacheField>
    <cacheField name="Amount in Group Currency 1" numFmtId="167">
      <sharedItems containsSemiMixedTypes="0" containsString="0" containsNumber="1" minValue="-833077.32" maxValue="833077.32"/>
    </cacheField>
    <cacheField name="Group Currency 2" numFmtId="0">
      <sharedItems containsNonDate="0" containsString="0" containsBlank="1"/>
    </cacheField>
    <cacheField name="Group Currency Exchange Rate 2" numFmtId="168">
      <sharedItems containsNonDate="0" containsString="0" containsBlank="1"/>
    </cacheField>
    <cacheField name="Amount in Group Currency 2" numFmtId="167">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ley Wilson" refreshedDate="46037.607913194443" createdVersion="8" refreshedVersion="8" minRefreshableVersion="3" recordCount="110" xr:uid="{34A46B47-5D91-4A96-89C0-FD58C5ABC750}">
  <cacheSource type="worksheet">
    <worksheetSource ref="A27:BK137" sheet="2.2 CTR P2"/>
  </cacheSource>
  <cacheFields count="63">
    <cacheField name="System" numFmtId="0">
      <sharedItems/>
    </cacheField>
    <cacheField name="Lease Area" numFmtId="0">
      <sharedItems/>
    </cacheField>
    <cacheField name="Business Unit" numFmtId="0">
      <sharedItems/>
    </cacheField>
    <cacheField name="Lease Department" numFmtId="0">
      <sharedItems containsNonDate="0" containsString="0" containsBlank="1"/>
    </cacheField>
    <cacheField name="Unit Cost Center" numFmtId="0">
      <sharedItems containsBlank="1"/>
    </cacheField>
    <cacheField name="Unit Profit Center" numFmtId="0">
      <sharedItems/>
    </cacheField>
    <cacheField name="Unit Responsible Cost Center" numFmtId="0">
      <sharedItems containsNonDate="0" containsString="0" containsBlank="1"/>
    </cacheField>
    <cacheField name="WBS" numFmtId="0">
      <sharedItems containsNonDate="0" containsString="0" containsBlank="1"/>
    </cacheField>
    <cacheField name="Business Area" numFmtId="0">
      <sharedItems containsNonDate="0" containsString="0" containsBlank="1"/>
    </cacheField>
    <cacheField name="Functional Area" numFmtId="0">
      <sharedItems containsNonDate="0" containsString="0" containsBlank="1"/>
    </cacheField>
    <cacheField name="Segment" numFmtId="0">
      <sharedItems containsNonDate="0" containsString="0" containsBlank="1"/>
    </cacheField>
    <cacheField name="Source" numFmtId="0">
      <sharedItems/>
    </cacheField>
    <cacheField name="Purchase Organization" numFmtId="0">
      <sharedItems containsNonDate="0" containsString="0" containsBlank="1"/>
    </cacheField>
    <cacheField name="Purchase Order" numFmtId="0">
      <sharedItems containsNonDate="0" containsString="0" containsBlank="1"/>
    </cacheField>
    <cacheField name="Transaction Type" numFmtId="0">
      <sharedItems/>
    </cacheField>
    <cacheField name="Transaction Type Value" numFmtId="0">
      <sharedItems/>
    </cacheField>
    <cacheField name="Contract ID" numFmtId="0">
      <sharedItems/>
    </cacheField>
    <cacheField name="Contract Name" numFmtId="0">
      <sharedItems/>
    </cacheField>
    <cacheField name="Lease Component ID" numFmtId="0">
      <sharedItems/>
    </cacheField>
    <cacheField name="Activation Group ID" numFmtId="0">
      <sharedItems/>
    </cacheField>
    <cacheField name="External Contract Reference" numFmtId="0">
      <sharedItems containsNonDate="0" containsString="0" containsBlank="1"/>
    </cacheField>
    <cacheField name="Contract Cost Center" numFmtId="0">
      <sharedItems/>
    </cacheField>
    <cacheField name="Principal Position" numFmtId="0">
      <sharedItems/>
    </cacheField>
    <cacheField name="Company Code" numFmtId="0">
      <sharedItems/>
    </cacheField>
    <cacheField name="Accounting Standard" numFmtId="0">
      <sharedItems count="2">
        <s v="IAS"/>
        <s v="GAAP"/>
      </sharedItems>
    </cacheField>
    <cacheField name="Lease Classification" numFmtId="0">
      <sharedItems/>
    </cacheField>
    <cacheField name="Internal Asset Class" numFmtId="0">
      <sharedItems/>
    </cacheField>
    <cacheField name="Unit" numFmtId="0">
      <sharedItems/>
    </cacheField>
    <cacheField name="Internal Document Number" numFmtId="0">
      <sharedItems/>
    </cacheField>
    <cacheField name="External Document Number" numFmtId="0">
      <sharedItems containsNonDate="0" containsString="0" containsBlank="1"/>
    </cacheField>
    <cacheField name="Internal Reversal Document Number" numFmtId="0">
      <sharedItems containsNonDate="0" containsString="0" containsBlank="1"/>
    </cacheField>
    <cacheField name="External Reversal Document Number" numFmtId="0">
      <sharedItems containsNonDate="0" containsString="0" containsBlank="1"/>
    </cacheField>
    <cacheField name="Original Internal Document Number" numFmtId="0">
      <sharedItems containsNonDate="0" containsString="0" containsBlank="1"/>
    </cacheField>
    <cacheField name="Original External Document Number" numFmtId="0">
      <sharedItems containsNonDate="0" containsString="0" containsBlank="1"/>
    </cacheField>
    <cacheField name="Journal State" numFmtId="0">
      <sharedItems/>
    </cacheField>
    <cacheField name="Internal Status" numFmtId="0">
      <sharedItems/>
    </cacheField>
    <cacheField name="External Status" numFmtId="0">
      <sharedItems/>
    </cacheField>
    <cacheField name="Externally Posted By" numFmtId="0">
      <sharedItems containsNonDate="0" containsString="0" containsBlank="1"/>
    </cacheField>
    <cacheField name="Fiscal Year" numFmtId="166">
      <sharedItems containsSemiMixedTypes="0" containsString="0" containsNumber="1" containsInteger="1" minValue="2025" maxValue="2025" count="1">
        <n v="2025"/>
      </sharedItems>
    </cacheField>
    <cacheField name="Fiscal Period" numFmtId="166">
      <sharedItems containsSemiMixedTypes="0" containsString="0" containsNumber="1" containsInteger="1" minValue="1" maxValue="2" count="2">
        <n v="1"/>
        <n v="2"/>
      </sharedItems>
    </cacheField>
    <cacheField name="Translation Date" numFmtId="165">
      <sharedItems containsSemiMixedTypes="0" containsNonDate="0" containsDate="1" containsString="0" minDate="2025-01-01T00:00:00" maxDate="2025-03-01T00:00:00"/>
    </cacheField>
    <cacheField name="Posting Date" numFmtId="165">
      <sharedItems containsSemiMixedTypes="0" containsNonDate="0" containsDate="1" containsString="0" minDate="2025-01-01T00:00:00" maxDate="2025-03-01T00:00:00"/>
    </cacheField>
    <cacheField name="Document Date" numFmtId="165">
      <sharedItems containsSemiMixedTypes="0" containsNonDate="0" containsDate="1" containsString="0" minDate="2025-01-01T00:00:00" maxDate="2025-03-01T00:00:00"/>
    </cacheField>
    <cacheField name="Document Type" numFmtId="0">
      <sharedItems/>
    </cacheField>
    <cacheField name="Depreciation Area" numFmtId="0">
      <sharedItems containsBlank="1"/>
    </cacheField>
    <cacheField name="Account Number" numFmtId="0">
      <sharedItems count="13">
        <s v="0000280903"/>
        <s v="0000159999"/>
        <s v="0000210503"/>
        <s v="0000200500"/>
        <s v="0000280900"/>
        <s v="0000280001"/>
        <s v="0000280000"/>
        <s v="0000270000"/>
        <s v="0000600000"/>
        <s v="0000710300"/>
        <s v="0000159010"/>
        <s v="0000700006"/>
        <s v="0000710500"/>
      </sharedItems>
    </cacheField>
    <cacheField name="Account Name" numFmtId="0">
      <sharedItems count="12">
        <s v="LT Lease Payable"/>
        <s v="Asset Clearing"/>
        <s v="ROU_ASSET"/>
        <s v="AP Clearing"/>
        <s v="st lease"/>
        <s v="Non-Lease Accrual"/>
        <s v="Accrued Interest"/>
        <s v="Interest"/>
        <s v="Parking"/>
        <s v="Accumulated Depreciation "/>
        <s v="Depreciation"/>
        <s v="Services"/>
      </sharedItems>
    </cacheField>
    <cacheField name="Vendor" numFmtId="0">
      <sharedItems containsNonDate="0" containsString="0" containsBlank="1"/>
    </cacheField>
    <cacheField name="Trading Partner ID" numFmtId="0">
      <sharedItems containsNonDate="0" containsString="0" containsBlank="1"/>
    </cacheField>
    <cacheField name="Trading Partner Name" numFmtId="0">
      <sharedItems containsNonDate="0" containsString="0" containsBlank="1"/>
    </cacheField>
    <cacheField name="Accounting Entry" numFmtId="0">
      <sharedItems/>
    </cacheField>
    <cacheField name="Description" numFmtId="0">
      <sharedItems/>
    </cacheField>
    <cacheField name="Contract Currency" numFmtId="0">
      <sharedItems count="2">
        <s v="EUR"/>
        <s v="USD"/>
      </sharedItems>
    </cacheField>
    <cacheField name="Amount in Contract Currency" numFmtId="167">
      <sharedItems containsSemiMixedTypes="0" containsString="0" containsNumber="1" minValue="-189810.28" maxValue="189810.28"/>
    </cacheField>
    <cacheField name="Company Currency" numFmtId="0">
      <sharedItems/>
    </cacheField>
    <cacheField name="Company Currency Exchange Rate" numFmtId="168">
      <sharedItems containsSemiMixedTypes="0" containsString="0" containsNumber="1" minValue="1.37" maxValue="1.54"/>
    </cacheField>
    <cacheField name="Amount in Company Currency" numFmtId="167">
      <sharedItems containsSemiMixedTypes="0" containsString="0" containsNumber="1" minValue="-292307.83" maxValue="292307.83"/>
    </cacheField>
    <cacheField name="Group Currency 1" numFmtId="0">
      <sharedItems/>
    </cacheField>
    <cacheField name="Group Currency Exchange Rate 1" numFmtId="168">
      <sharedItems containsSemiMixedTypes="0" containsString="0" containsNumber="1" minValue="2.85" maxValue="2.85"/>
    </cacheField>
    <cacheField name="Amount in Group Currency 1" numFmtId="167">
      <sharedItems containsSemiMixedTypes="0" containsString="0" containsNumber="1" minValue="-833077.32" maxValue="833077.32"/>
    </cacheField>
    <cacheField name="Group Currency 2" numFmtId="0">
      <sharedItems containsNonDate="0" containsString="0" containsBlank="1"/>
    </cacheField>
    <cacheField name="Group Currency Exchange Rate 2" numFmtId="168">
      <sharedItems containsNonDate="0" containsString="0" containsBlank="1"/>
    </cacheField>
    <cacheField name="Amount in Group Currency 2" numFmtId="167">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s v="FINQ8S-300 - FINQ8S-300"/>
    <s v="0001"/>
    <s v="BU0001"/>
    <m/>
    <m/>
    <s v="0000000120"/>
    <m/>
    <m/>
    <m/>
    <m/>
    <m/>
    <s v="Local"/>
    <m/>
    <m/>
    <s v="Liability"/>
    <s v="Z01"/>
    <s v="CT-100080835"/>
    <s v="22222"/>
    <s v="LC-100065284"/>
    <s v="AG-100055306"/>
    <m/>
    <s v="0000012999"/>
    <s v="Lessee"/>
    <s v="1000"/>
    <x v="0"/>
    <s v="Finance"/>
    <s v="IAC0001 - EQUIPMENT"/>
    <s v="UN-100135411"/>
    <s v="2025023595"/>
    <m/>
    <m/>
    <m/>
    <m/>
    <m/>
    <s v="Post"/>
    <s v="Posted"/>
    <s v="Open"/>
    <m/>
    <x v="0"/>
    <x v="0"/>
    <d v="2025-01-01T00:00:00"/>
    <d v="2025-01-01T00:00:00"/>
    <d v="2025-01-01T00:00:00"/>
    <s v="SA"/>
    <m/>
    <x v="0"/>
    <x v="0"/>
    <m/>
    <m/>
    <m/>
    <s v="Credit"/>
    <s v="Recognition"/>
    <x v="0"/>
    <n v="-189810.28"/>
    <s v="CAD"/>
    <n v="1.54"/>
    <n v="-292307.83"/>
    <s v="USD"/>
    <n v="2.85"/>
    <n v="-833077.32"/>
    <m/>
    <m/>
    <m/>
  </r>
  <r>
    <s v="FINQ8S-300 - FINQ8S-300"/>
    <s v="0001"/>
    <s v="BU0001"/>
    <m/>
    <m/>
    <s v="0000000120"/>
    <m/>
    <m/>
    <m/>
    <m/>
    <m/>
    <s v="Local"/>
    <m/>
    <m/>
    <s v="Liability"/>
    <s v="Z01"/>
    <s v="CT-100080835"/>
    <s v="22222"/>
    <s v="LC-100065284"/>
    <s v="AG-100055306"/>
    <m/>
    <s v="0000012999"/>
    <s v="Lessee"/>
    <s v="1000"/>
    <x v="0"/>
    <s v="Finance"/>
    <s v="IAC0001 - EQUIPMENT"/>
    <s v="UN-100135411"/>
    <s v="2025023595"/>
    <m/>
    <m/>
    <m/>
    <m/>
    <m/>
    <s v="Post"/>
    <s v="Posted"/>
    <s v="Open"/>
    <m/>
    <x v="0"/>
    <x v="0"/>
    <d v="2025-01-01T00:00:00"/>
    <d v="2025-01-01T00:00:00"/>
    <d v="2025-01-01T00:00:00"/>
    <s v="SA"/>
    <m/>
    <x v="1"/>
    <x v="1"/>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0"/>
    <s v="Finance"/>
    <s v="IAC0001 - EQUIPMENT"/>
    <s v="UN-100135411"/>
    <s v="2025023596"/>
    <m/>
    <m/>
    <m/>
    <m/>
    <m/>
    <s v="Post"/>
    <s v="Posted"/>
    <s v="Open"/>
    <m/>
    <x v="0"/>
    <x v="0"/>
    <d v="2025-01-01T00:00:00"/>
    <d v="2025-01-01T00:00:00"/>
    <d v="2025-01-01T00:00:00"/>
    <s v="SA"/>
    <m/>
    <x v="2"/>
    <x v="2"/>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0"/>
    <s v="Finance"/>
    <s v="IAC0001 - EQUIPMENT"/>
    <s v="UN-100135411"/>
    <s v="2025023596"/>
    <m/>
    <m/>
    <m/>
    <m/>
    <m/>
    <s v="Post"/>
    <s v="Posted"/>
    <s v="Open"/>
    <m/>
    <x v="0"/>
    <x v="0"/>
    <d v="2025-01-01T00:00:00"/>
    <d v="2025-01-01T00:00:00"/>
    <d v="2025-01-01T00:00:00"/>
    <s v="SA"/>
    <m/>
    <x v="1"/>
    <x v="1"/>
    <m/>
    <m/>
    <m/>
    <s v="Credit"/>
    <s v="Recognition"/>
    <x v="0"/>
    <n v="-189810.28"/>
    <s v="CAD"/>
    <n v="1.54"/>
    <n v="-292307.83"/>
    <s v="USD"/>
    <n v="2.85"/>
    <n v="-833077.32"/>
    <m/>
    <m/>
    <m/>
  </r>
  <r>
    <s v="FINQ8S-300 - FINQ8S-300"/>
    <s v="0001"/>
    <s v="BU0001"/>
    <m/>
    <m/>
    <s v="0000000120"/>
    <m/>
    <m/>
    <m/>
    <m/>
    <m/>
    <s v="Local"/>
    <m/>
    <m/>
    <s v="Liability"/>
    <s v="Z01"/>
    <s v="CT-100080835"/>
    <s v="22222"/>
    <s v="LC-100065284"/>
    <s v="AG-100055306"/>
    <m/>
    <s v="0000012999"/>
    <s v="Lessee"/>
    <s v="1000"/>
    <x v="1"/>
    <s v="Operating"/>
    <s v="IAC0001 - EQUIPMENT"/>
    <s v="UN-100135411"/>
    <s v="2025023597"/>
    <m/>
    <m/>
    <m/>
    <m/>
    <m/>
    <s v="Post"/>
    <s v="Posted"/>
    <s v="Open"/>
    <m/>
    <x v="0"/>
    <x v="0"/>
    <d v="2025-01-01T00:00:00"/>
    <d v="2025-01-01T00:00:00"/>
    <d v="2025-01-01T00:00:00"/>
    <s v="SA"/>
    <m/>
    <x v="0"/>
    <x v="0"/>
    <m/>
    <m/>
    <m/>
    <s v="Credit"/>
    <s v="Recognition"/>
    <x v="0"/>
    <n v="-189810.28"/>
    <s v="CAD"/>
    <n v="1.54"/>
    <n v="-292307.83"/>
    <s v="USD"/>
    <n v="2.85"/>
    <n v="-833077.32"/>
    <m/>
    <m/>
    <m/>
  </r>
  <r>
    <s v="FINQ8S-300 - FINQ8S-300"/>
    <s v="0001"/>
    <s v="BU0001"/>
    <m/>
    <m/>
    <s v="0000000120"/>
    <m/>
    <m/>
    <m/>
    <m/>
    <m/>
    <s v="Local"/>
    <m/>
    <m/>
    <s v="Liability"/>
    <s v="Z01"/>
    <s v="CT-100080835"/>
    <s v="22222"/>
    <s v="LC-100065284"/>
    <s v="AG-100055306"/>
    <m/>
    <s v="0000012999"/>
    <s v="Lessee"/>
    <s v="1000"/>
    <x v="1"/>
    <s v="Operating"/>
    <s v="IAC0001 - EQUIPMENT"/>
    <s v="UN-100135411"/>
    <s v="2025023597"/>
    <m/>
    <m/>
    <m/>
    <m/>
    <m/>
    <s v="Post"/>
    <s v="Posted"/>
    <s v="Open"/>
    <m/>
    <x v="0"/>
    <x v="0"/>
    <d v="2025-01-01T00:00:00"/>
    <d v="2025-01-01T00:00:00"/>
    <d v="2025-01-01T00:00:00"/>
    <s v="SA"/>
    <m/>
    <x v="1"/>
    <x v="1"/>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1"/>
    <s v="Operating"/>
    <s v="IAC0001 - EQUIPMENT"/>
    <s v="UN-100135411"/>
    <s v="2025023598"/>
    <m/>
    <m/>
    <m/>
    <m/>
    <m/>
    <s v="Post"/>
    <s v="Posted"/>
    <s v="Open"/>
    <m/>
    <x v="0"/>
    <x v="0"/>
    <d v="2025-01-01T00:00:00"/>
    <d v="2025-01-01T00:00:00"/>
    <d v="2025-01-01T00:00:00"/>
    <s v="SA"/>
    <m/>
    <x v="2"/>
    <x v="2"/>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1"/>
    <s v="Operating"/>
    <s v="IAC0001 - EQUIPMENT"/>
    <s v="UN-100135411"/>
    <s v="2025023598"/>
    <m/>
    <m/>
    <m/>
    <m/>
    <m/>
    <s v="Post"/>
    <s v="Posted"/>
    <s v="Open"/>
    <m/>
    <x v="0"/>
    <x v="0"/>
    <d v="2025-01-01T00:00:00"/>
    <d v="2025-01-01T00:00:00"/>
    <d v="2025-01-01T00:00:00"/>
    <s v="SA"/>
    <m/>
    <x v="1"/>
    <x v="1"/>
    <m/>
    <m/>
    <m/>
    <s v="Credit"/>
    <s v="Recognition"/>
    <x v="0"/>
    <n v="-189810.28"/>
    <s v="CAD"/>
    <n v="1.54"/>
    <n v="-292307.83"/>
    <s v="USD"/>
    <n v="2.85"/>
    <n v="-833077.32"/>
    <m/>
    <m/>
    <m/>
  </r>
  <r>
    <s v="FINQ8S-300 - FINQ8S-300"/>
    <s v="0001"/>
    <s v="BU0001"/>
    <m/>
    <m/>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3"/>
    <x v="3"/>
    <m/>
    <m/>
    <m/>
    <s v="Credit"/>
    <s v="Payment"/>
    <x v="0"/>
    <n v="-8000"/>
    <s v="CAD"/>
    <n v="1.54"/>
    <n v="-12320"/>
    <s v="USD"/>
    <n v="2.85"/>
    <n v="-35112"/>
    <m/>
    <m/>
    <m/>
  </r>
  <r>
    <s v="FINQ8S-300 - FINQ8S-300"/>
    <s v="0001"/>
    <s v="BU0001"/>
    <m/>
    <m/>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3"/>
    <x v="3"/>
    <m/>
    <m/>
    <m/>
    <s v="Credit"/>
    <s v="Payment"/>
    <x v="0"/>
    <n v="-900"/>
    <s v="CAD"/>
    <n v="1.54"/>
    <n v="-1386"/>
    <s v="USD"/>
    <n v="2.85"/>
    <n v="-3950.1"/>
    <m/>
    <m/>
    <m/>
  </r>
  <r>
    <s v="FINQ8S-300 - FINQ8S-300"/>
    <s v="0001"/>
    <s v="BU0001"/>
    <m/>
    <s v="0000012999"/>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4"/>
    <x v="4"/>
    <m/>
    <m/>
    <m/>
    <s v="Debit"/>
    <s v="Payment"/>
    <x v="0"/>
    <n v="8000"/>
    <s v="CAD"/>
    <n v="1.54"/>
    <n v="12320"/>
    <s v="USD"/>
    <n v="2.85"/>
    <n v="35112"/>
    <m/>
    <m/>
    <m/>
  </r>
  <r>
    <s v="FINQ8S-300 - FINQ8S-300"/>
    <s v="0001"/>
    <s v="BU0001"/>
    <m/>
    <m/>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5"/>
    <x v="5"/>
    <m/>
    <m/>
    <m/>
    <s v="Debit"/>
    <s v="Payment"/>
    <x v="0"/>
    <n v="900"/>
    <s v="CAD"/>
    <n v="1.54"/>
    <n v="1386"/>
    <s v="USD"/>
    <n v="2.85"/>
    <n v="3950.1"/>
    <m/>
    <m/>
    <m/>
  </r>
  <r>
    <s v="FINQ8S-300 - FINQ8S-300"/>
    <s v="0001"/>
    <s v="BU0001"/>
    <m/>
    <m/>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3"/>
    <x v="3"/>
    <m/>
    <m/>
    <m/>
    <s v="Credit"/>
    <s v="Payment"/>
    <x v="0"/>
    <n v="-8000"/>
    <s v="CAD"/>
    <n v="1.54"/>
    <n v="-12320"/>
    <s v="USD"/>
    <n v="2.85"/>
    <n v="-35112"/>
    <m/>
    <m/>
    <m/>
  </r>
  <r>
    <s v="FINQ8S-300 - FINQ8S-300"/>
    <s v="0001"/>
    <s v="BU0001"/>
    <m/>
    <m/>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3"/>
    <x v="3"/>
    <m/>
    <m/>
    <m/>
    <s v="Credit"/>
    <s v="Payment"/>
    <x v="0"/>
    <n v="-900"/>
    <s v="CAD"/>
    <n v="1.54"/>
    <n v="-1386"/>
    <s v="USD"/>
    <n v="2.85"/>
    <n v="-3950.1"/>
    <m/>
    <m/>
    <m/>
  </r>
  <r>
    <s v="FINQ8S-300 - FINQ8S-300"/>
    <s v="0001"/>
    <s v="BU0001"/>
    <m/>
    <s v="0000012999"/>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4"/>
    <x v="4"/>
    <m/>
    <m/>
    <m/>
    <s v="Debit"/>
    <s v="Payment"/>
    <x v="0"/>
    <n v="8000"/>
    <s v="CAD"/>
    <n v="1.54"/>
    <n v="12320"/>
    <s v="USD"/>
    <n v="2.85"/>
    <n v="35112"/>
    <m/>
    <m/>
    <m/>
  </r>
  <r>
    <s v="FINQ8S-300 - FINQ8S-300"/>
    <s v="0001"/>
    <s v="BU0001"/>
    <m/>
    <m/>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6"/>
    <x v="5"/>
    <m/>
    <m/>
    <m/>
    <s v="Debit"/>
    <s v="Payment"/>
    <x v="0"/>
    <n v="900"/>
    <s v="CAD"/>
    <n v="1.54"/>
    <n v="1386"/>
    <s v="USD"/>
    <n v="2.85"/>
    <n v="3950.1"/>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3"/>
    <x v="3"/>
    <m/>
    <m/>
    <m/>
    <s v="Credit"/>
    <s v="Payment"/>
    <x v="1"/>
    <n v="-6500"/>
    <s v="CAD"/>
    <n v="1.37"/>
    <n v="-8905"/>
    <s v="USD"/>
    <n v="2.85"/>
    <n v="-25379.25"/>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3"/>
    <x v="3"/>
    <m/>
    <m/>
    <m/>
    <s v="Credit"/>
    <s v="Payment"/>
    <x v="1"/>
    <n v="-250"/>
    <s v="CAD"/>
    <n v="1.37"/>
    <n v="-342.5"/>
    <s v="USD"/>
    <n v="2.85"/>
    <n v="-976.13"/>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7"/>
    <x v="6"/>
    <m/>
    <m/>
    <m/>
    <s v="Debit"/>
    <s v="Payment"/>
    <x v="1"/>
    <n v="154.07"/>
    <s v="CAD"/>
    <n v="1.37"/>
    <n v="211.07"/>
    <s v="USD"/>
    <n v="2.85"/>
    <n v="601.54999999999995"/>
    <m/>
    <m/>
    <m/>
  </r>
  <r>
    <s v="FINQ8S-300 - FINQ8S-300"/>
    <s v="0001"/>
    <s v="BU0001"/>
    <m/>
    <s v="0000011093"/>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4"/>
    <x v="4"/>
    <m/>
    <m/>
    <m/>
    <s v="Debit"/>
    <s v="Payment"/>
    <x v="1"/>
    <n v="6345.93"/>
    <s v="CAD"/>
    <n v="1.37"/>
    <n v="8693.93"/>
    <s v="USD"/>
    <n v="2.85"/>
    <n v="24777.7"/>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6"/>
    <x v="5"/>
    <m/>
    <m/>
    <m/>
    <s v="Debit"/>
    <s v="Payment"/>
    <x v="1"/>
    <n v="250"/>
    <s v="CAD"/>
    <n v="1.37"/>
    <n v="342.5"/>
    <s v="USD"/>
    <n v="2.85"/>
    <n v="976.13"/>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3"/>
    <x v="3"/>
    <m/>
    <m/>
    <m/>
    <s v="Credit"/>
    <s v="Payment"/>
    <x v="1"/>
    <n v="-6500"/>
    <s v="CAD"/>
    <n v="1.37"/>
    <n v="-8905"/>
    <s v="USD"/>
    <n v="2.85"/>
    <n v="-25379.25"/>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3"/>
    <x v="3"/>
    <m/>
    <m/>
    <m/>
    <s v="Credit"/>
    <s v="Payment"/>
    <x v="1"/>
    <n v="-250"/>
    <s v="CAD"/>
    <n v="1.37"/>
    <n v="-342.5"/>
    <s v="USD"/>
    <n v="2.85"/>
    <n v="-976.13"/>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7"/>
    <x v="6"/>
    <m/>
    <m/>
    <m/>
    <s v="Debit"/>
    <s v="Payment"/>
    <x v="1"/>
    <n v="154.07"/>
    <s v="CAD"/>
    <n v="1.37"/>
    <n v="211.07"/>
    <s v="USD"/>
    <n v="2.85"/>
    <n v="601.54999999999995"/>
    <m/>
    <m/>
    <m/>
  </r>
  <r>
    <s v="FINQ8S-300 - FINQ8S-300"/>
    <s v="0001"/>
    <s v="BU0001"/>
    <m/>
    <s v="0000011093"/>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4"/>
    <x v="4"/>
    <m/>
    <m/>
    <m/>
    <s v="Debit"/>
    <s v="Payment"/>
    <x v="1"/>
    <n v="6345.93"/>
    <s v="CAD"/>
    <n v="1.37"/>
    <n v="8693.93"/>
    <s v="USD"/>
    <n v="2.85"/>
    <n v="24777.7"/>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6"/>
    <x v="5"/>
    <m/>
    <m/>
    <m/>
    <s v="Debit"/>
    <s v="Payment"/>
    <x v="1"/>
    <n v="250"/>
    <s v="CAD"/>
    <n v="1.37"/>
    <n v="342.5"/>
    <s v="USD"/>
    <n v="2.85"/>
    <n v="976.13"/>
    <m/>
    <m/>
    <m/>
  </r>
  <r>
    <s v="FINQ8S-300 - FINQ8S-300"/>
    <s v="0001"/>
    <s v="BU0001"/>
    <m/>
    <m/>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7"/>
    <x v="6"/>
    <m/>
    <m/>
    <m/>
    <s v="Credit"/>
    <s v="Accrual"/>
    <x v="0"/>
    <n v="-181.81"/>
    <s v="CAD"/>
    <n v="1.54"/>
    <n v="-279.99"/>
    <s v="USD"/>
    <n v="2.85"/>
    <n v="-797.97"/>
    <m/>
    <m/>
    <m/>
  </r>
  <r>
    <s v="FINQ8S-300 - FINQ8S-300"/>
    <s v="0001"/>
    <s v="BU0001"/>
    <m/>
    <s v="0000012999"/>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8"/>
    <x v="7"/>
    <m/>
    <m/>
    <m/>
    <s v="Debit"/>
    <s v="Accrual"/>
    <x v="0"/>
    <n v="181.81"/>
    <s v="CAD"/>
    <n v="1.54"/>
    <n v="279.99"/>
    <s v="USD"/>
    <n v="2.85"/>
    <n v="797.97"/>
    <m/>
    <m/>
    <m/>
  </r>
  <r>
    <s v="FINQ8S-300 - FINQ8S-300"/>
    <s v="0001"/>
    <s v="BU0001"/>
    <m/>
    <m/>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6"/>
    <x v="5"/>
    <m/>
    <m/>
    <m/>
    <s v="Cred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9"/>
    <x v="8"/>
    <m/>
    <m/>
    <m/>
    <s v="Deb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4"/>
    <x v="4"/>
    <m/>
    <m/>
    <m/>
    <s v="Credit"/>
    <s v="Accrual"/>
    <x v="0"/>
    <n v="-102336"/>
    <s v="CAD"/>
    <n v="1.54"/>
    <n v="-157597.44"/>
    <s v="USD"/>
    <n v="2.85"/>
    <n v="-449152.71"/>
    <m/>
    <m/>
    <m/>
  </r>
  <r>
    <s v="FINQ8S-300 - FINQ8S-300"/>
    <s v="0001"/>
    <s v="BU0001"/>
    <m/>
    <m/>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0"/>
    <x v="0"/>
    <m/>
    <m/>
    <m/>
    <s v="Debit"/>
    <s v="Accrual"/>
    <x v="0"/>
    <n v="102336"/>
    <s v="CAD"/>
    <n v="1.54"/>
    <n v="157597.44"/>
    <s v="USD"/>
    <n v="2.85"/>
    <n v="449152.71"/>
    <m/>
    <m/>
    <m/>
  </r>
  <r>
    <s v="FINQ8S-300 - FINQ8S-300"/>
    <s v="0001"/>
    <s v="BU0001"/>
    <m/>
    <m/>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7"/>
    <x v="6"/>
    <m/>
    <m/>
    <m/>
    <s v="Credit"/>
    <s v="Accrual"/>
    <x v="0"/>
    <n v="-181.81"/>
    <s v="CAD"/>
    <n v="1.54"/>
    <n v="-279.99"/>
    <s v="USD"/>
    <n v="2.85"/>
    <n v="-797.97"/>
    <m/>
    <m/>
    <m/>
  </r>
  <r>
    <s v="FINQ8S-300 - FINQ8S-300"/>
    <s v="0001"/>
    <s v="BU0001"/>
    <m/>
    <s v="0000012999"/>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8"/>
    <x v="7"/>
    <m/>
    <m/>
    <m/>
    <s v="Debit"/>
    <s v="Accrual"/>
    <x v="0"/>
    <n v="181.81"/>
    <s v="CAD"/>
    <n v="1.54"/>
    <n v="279.99"/>
    <s v="USD"/>
    <n v="2.85"/>
    <n v="797.97"/>
    <m/>
    <m/>
    <m/>
  </r>
  <r>
    <s v="FINQ8S-300 - FINQ8S-300"/>
    <s v="0001"/>
    <s v="BU0001"/>
    <m/>
    <m/>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5"/>
    <x v="5"/>
    <m/>
    <m/>
    <m/>
    <s v="Cred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9"/>
    <x v="8"/>
    <m/>
    <m/>
    <m/>
    <s v="Deb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4"/>
    <x v="4"/>
    <m/>
    <m/>
    <m/>
    <s v="Credit"/>
    <s v="Accrual"/>
    <x v="0"/>
    <n v="-102336"/>
    <s v="CAD"/>
    <n v="1.54"/>
    <n v="-157597.44"/>
    <s v="USD"/>
    <n v="2.85"/>
    <n v="-449152.71"/>
    <m/>
    <m/>
    <m/>
  </r>
  <r>
    <s v="FINQ8S-300 - FINQ8S-300"/>
    <s v="0001"/>
    <s v="BU0001"/>
    <m/>
    <m/>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0"/>
    <x v="0"/>
    <m/>
    <m/>
    <m/>
    <s v="Debit"/>
    <s v="Accrual"/>
    <x v="0"/>
    <n v="102336"/>
    <s v="CAD"/>
    <n v="1.54"/>
    <n v="157597.44"/>
    <s v="USD"/>
    <n v="2.85"/>
    <n v="449152.71"/>
    <m/>
    <m/>
    <m/>
  </r>
  <r>
    <s v="FINQ8S-300 - FINQ8S-300"/>
    <s v="0001"/>
    <s v="BU0001"/>
    <m/>
    <m/>
    <s v="0000000120"/>
    <m/>
    <m/>
    <m/>
    <m/>
    <m/>
    <s v="Local"/>
    <m/>
    <m/>
    <s v="Depreciation"/>
    <s v="220"/>
    <s v="CT-100080835"/>
    <s v="22222"/>
    <s v="LC-100065284"/>
    <s v="AG-100055306"/>
    <m/>
    <s v="0000012999"/>
    <s v="Lessee"/>
    <s v="1000"/>
    <x v="0"/>
    <s v="Finance"/>
    <s v="IAC0001 - EQUIPMENT"/>
    <s v="UN-100135411"/>
    <s v="2025023603"/>
    <m/>
    <m/>
    <m/>
    <m/>
    <m/>
    <s v="Post"/>
    <s v="Posted"/>
    <s v="Open"/>
    <m/>
    <x v="0"/>
    <x v="0"/>
    <d v="2025-01-31T00:00:00"/>
    <d v="2025-01-31T00:00:00"/>
    <d v="2025-01-31T00:00:00"/>
    <s v="SA"/>
    <s v="01"/>
    <x v="10"/>
    <x v="9"/>
    <m/>
    <m/>
    <m/>
    <s v="Credit"/>
    <s v="Depreciation"/>
    <x v="0"/>
    <n v="-7908.76"/>
    <s v="CAD"/>
    <n v="1.54"/>
    <n v="-12179.49"/>
    <s v="USD"/>
    <n v="2.85"/>
    <n v="-34711.56"/>
    <m/>
    <m/>
    <m/>
  </r>
  <r>
    <s v="FINQ8S-300 - FINQ8S-300"/>
    <s v="0001"/>
    <s v="BU0001"/>
    <m/>
    <s v="0000012999"/>
    <s v="0000000120"/>
    <m/>
    <m/>
    <m/>
    <m/>
    <m/>
    <s v="Local"/>
    <m/>
    <m/>
    <s v="Depreciation"/>
    <s v="220"/>
    <s v="CT-100080835"/>
    <s v="22222"/>
    <s v="LC-100065284"/>
    <s v="AG-100055306"/>
    <m/>
    <s v="0000012999"/>
    <s v="Lessee"/>
    <s v="1000"/>
    <x v="0"/>
    <s v="Finance"/>
    <s v="IAC0001 - EQUIPMENT"/>
    <s v="UN-100135411"/>
    <s v="2025023603"/>
    <m/>
    <m/>
    <m/>
    <m/>
    <m/>
    <s v="Post"/>
    <s v="Posted"/>
    <s v="Open"/>
    <m/>
    <x v="0"/>
    <x v="0"/>
    <d v="2025-01-31T00:00:00"/>
    <d v="2025-01-31T00:00:00"/>
    <d v="2025-01-31T00:00:00"/>
    <s v="SA"/>
    <s v="01"/>
    <x v="11"/>
    <x v="10"/>
    <m/>
    <m/>
    <m/>
    <s v="Debit"/>
    <s v="Depreciation"/>
    <x v="0"/>
    <n v="7908.76"/>
    <s v="CAD"/>
    <n v="1.54"/>
    <n v="12179.49"/>
    <s v="USD"/>
    <n v="2.85"/>
    <n v="34711.56"/>
    <m/>
    <m/>
    <m/>
  </r>
  <r>
    <s v="FINQ8S-300 - FINQ8S-300"/>
    <s v="0001"/>
    <s v="BU0001"/>
    <m/>
    <m/>
    <s v="0000000120"/>
    <m/>
    <m/>
    <m/>
    <m/>
    <m/>
    <s v="Local"/>
    <m/>
    <m/>
    <s v="Depreciation"/>
    <s v="220"/>
    <s v="CT-100080835"/>
    <s v="22222"/>
    <s v="LC-100065284"/>
    <s v="AG-100055306"/>
    <m/>
    <s v="0000012999"/>
    <s v="Lessee"/>
    <s v="1000"/>
    <x v="1"/>
    <s v="Operating"/>
    <s v="IAC0001 - EQUIPMENT"/>
    <s v="UN-100135411"/>
    <s v="2025023604"/>
    <m/>
    <m/>
    <m/>
    <m/>
    <m/>
    <s v="Post"/>
    <s v="Posted"/>
    <s v="Open"/>
    <m/>
    <x v="0"/>
    <x v="0"/>
    <d v="2025-01-31T00:00:00"/>
    <d v="2025-01-31T00:00:00"/>
    <d v="2025-01-31T00:00:00"/>
    <s v="SA"/>
    <s v="40"/>
    <x v="10"/>
    <x v="9"/>
    <m/>
    <m/>
    <m/>
    <s v="Credit"/>
    <s v="Depreciation"/>
    <x v="0"/>
    <n v="-7818.19"/>
    <s v="CAD"/>
    <n v="1.54"/>
    <n v="-12040.01"/>
    <s v="USD"/>
    <n v="2.85"/>
    <n v="-34314.03"/>
    <m/>
    <m/>
    <m/>
  </r>
  <r>
    <s v="FINQ8S-300 - FINQ8S-300"/>
    <s v="0001"/>
    <s v="BU0001"/>
    <m/>
    <s v="0000012999"/>
    <s v="0000000120"/>
    <m/>
    <m/>
    <m/>
    <m/>
    <m/>
    <s v="Local"/>
    <m/>
    <m/>
    <s v="Depreciation"/>
    <s v="220"/>
    <s v="CT-100080835"/>
    <s v="22222"/>
    <s v="LC-100065284"/>
    <s v="AG-100055306"/>
    <m/>
    <s v="0000012999"/>
    <s v="Lessee"/>
    <s v="1000"/>
    <x v="1"/>
    <s v="Operating"/>
    <s v="IAC0001 - EQUIPMENT"/>
    <s v="UN-100135411"/>
    <s v="2025023604"/>
    <m/>
    <m/>
    <m/>
    <m/>
    <m/>
    <s v="Post"/>
    <s v="Posted"/>
    <s v="Open"/>
    <m/>
    <x v="0"/>
    <x v="0"/>
    <d v="2025-01-31T00:00:00"/>
    <d v="2025-01-31T00:00:00"/>
    <d v="2025-01-31T00:00:00"/>
    <s v="SA"/>
    <s v="40"/>
    <x v="11"/>
    <x v="10"/>
    <m/>
    <m/>
    <m/>
    <s v="Debit"/>
    <s v="Depreciation"/>
    <x v="0"/>
    <n v="7818.19"/>
    <s v="CAD"/>
    <n v="1.54"/>
    <n v="12040.01"/>
    <s v="USD"/>
    <n v="2.85"/>
    <n v="34314.03"/>
    <m/>
    <m/>
    <m/>
  </r>
  <r>
    <s v="FINQ8S-300 - FINQ8S-300"/>
    <s v="0001"/>
    <s v="BU0001"/>
    <m/>
    <m/>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7"/>
    <x v="6"/>
    <m/>
    <m/>
    <m/>
    <s v="Credit"/>
    <s v="Accrual"/>
    <x v="1"/>
    <n v="-147.72"/>
    <s v="CAD"/>
    <n v="1.37"/>
    <n v="-202.38"/>
    <s v="USD"/>
    <n v="2.85"/>
    <n v="-576.78"/>
    <m/>
    <m/>
    <m/>
  </r>
  <r>
    <s v="FINQ8S-300 - FINQ8S-300"/>
    <s v="0001"/>
    <s v="BU0001"/>
    <m/>
    <s v="0000011093"/>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8"/>
    <x v="7"/>
    <m/>
    <m/>
    <m/>
    <s v="Debit"/>
    <s v="Accrual"/>
    <x v="1"/>
    <n v="147.72"/>
    <s v="CAD"/>
    <n v="1.37"/>
    <n v="202.38"/>
    <s v="USD"/>
    <n v="2.85"/>
    <n v="576.78"/>
    <m/>
    <m/>
    <m/>
  </r>
  <r>
    <s v="FINQ8S-300 - FINQ8S-300"/>
    <s v="0001"/>
    <s v="BU0001"/>
    <m/>
    <m/>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6"/>
    <x v="5"/>
    <m/>
    <m/>
    <m/>
    <s v="Cred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12"/>
    <x v="11"/>
    <m/>
    <m/>
    <m/>
    <s v="Deb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4"/>
    <x v="4"/>
    <m/>
    <m/>
    <m/>
    <s v="Credit"/>
    <s v="Accrual"/>
    <x v="1"/>
    <n v="-6422.5"/>
    <s v="CAD"/>
    <n v="1.37"/>
    <n v="-8798.83"/>
    <s v="USD"/>
    <n v="2.85"/>
    <n v="-25076.67"/>
    <m/>
    <m/>
    <m/>
  </r>
  <r>
    <s v="FINQ8S-300 - FINQ8S-300"/>
    <s v="0001"/>
    <s v="BU0001"/>
    <m/>
    <m/>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0"/>
    <x v="0"/>
    <m/>
    <m/>
    <m/>
    <s v="Debit"/>
    <s v="Accrual"/>
    <x v="1"/>
    <n v="6422.5"/>
    <s v="CAD"/>
    <n v="1.37"/>
    <n v="8798.83"/>
    <s v="USD"/>
    <n v="2.85"/>
    <n v="25076.67"/>
    <m/>
    <m/>
    <m/>
  </r>
  <r>
    <s v="FINQ8S-300 - FINQ8S-300"/>
    <s v="0001"/>
    <s v="BU0001"/>
    <m/>
    <m/>
    <s v="0000000110"/>
    <m/>
    <m/>
    <m/>
    <m/>
    <m/>
    <s v="Local"/>
    <m/>
    <m/>
    <s v="Depreciation"/>
    <s v="220"/>
    <s v="CT-100080838"/>
    <s v="33333"/>
    <s v="LC-100065287"/>
    <s v="AG-100055808"/>
    <m/>
    <s v="0000011093"/>
    <s v="Lessee"/>
    <s v="1000"/>
    <x v="1"/>
    <s v="Operating"/>
    <s v="IAC0001 - EQUIPMENT"/>
    <s v="UN-100135413"/>
    <s v="2025023674"/>
    <m/>
    <m/>
    <m/>
    <m/>
    <m/>
    <s v="Post"/>
    <s v="Posted"/>
    <s v="Open"/>
    <m/>
    <x v="0"/>
    <x v="0"/>
    <d v="2025-01-31T00:00:00"/>
    <d v="2025-01-31T00:00:00"/>
    <d v="2025-01-31T00:00:00"/>
    <s v="SA"/>
    <s v="40"/>
    <x v="10"/>
    <x v="9"/>
    <m/>
    <m/>
    <m/>
    <s v="Credit"/>
    <s v="Depreciation"/>
    <x v="1"/>
    <n v="-6352.28"/>
    <s v="CAD"/>
    <n v="1.37"/>
    <n v="-8702.6200000000008"/>
    <s v="USD"/>
    <n v="2.85"/>
    <n v="-24802.47"/>
    <m/>
    <m/>
    <m/>
  </r>
  <r>
    <s v="FINQ8S-300 - FINQ8S-300"/>
    <s v="0001"/>
    <s v="BU0001"/>
    <m/>
    <s v="0000011093"/>
    <s v="0000000110"/>
    <m/>
    <m/>
    <m/>
    <m/>
    <m/>
    <s v="Local"/>
    <m/>
    <m/>
    <s v="Depreciation"/>
    <s v="220"/>
    <s v="CT-100080838"/>
    <s v="33333"/>
    <s v="LC-100065287"/>
    <s v="AG-100055808"/>
    <m/>
    <s v="0000011093"/>
    <s v="Lessee"/>
    <s v="1000"/>
    <x v="1"/>
    <s v="Operating"/>
    <s v="IAC0001 - EQUIPMENT"/>
    <s v="UN-100135413"/>
    <s v="2025023674"/>
    <m/>
    <m/>
    <m/>
    <m/>
    <m/>
    <s v="Post"/>
    <s v="Posted"/>
    <s v="Open"/>
    <m/>
    <x v="0"/>
    <x v="0"/>
    <d v="2025-01-31T00:00:00"/>
    <d v="2025-01-31T00:00:00"/>
    <d v="2025-01-31T00:00:00"/>
    <s v="SA"/>
    <s v="40"/>
    <x v="11"/>
    <x v="10"/>
    <m/>
    <m/>
    <m/>
    <s v="Debit"/>
    <s v="Depreciation"/>
    <x v="1"/>
    <n v="6352.28"/>
    <s v="CAD"/>
    <n v="1.37"/>
    <n v="8702.6200000000008"/>
    <s v="USD"/>
    <n v="2.85"/>
    <n v="24802.47"/>
    <m/>
    <m/>
    <m/>
  </r>
  <r>
    <s v="FINQ8S-300 - FINQ8S-300"/>
    <s v="0001"/>
    <s v="BU0001"/>
    <m/>
    <m/>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7"/>
    <x v="6"/>
    <m/>
    <m/>
    <m/>
    <s v="Credit"/>
    <s v="Accrual"/>
    <x v="1"/>
    <n v="-147.72"/>
    <s v="CAD"/>
    <n v="1.37"/>
    <n v="-202.38"/>
    <s v="USD"/>
    <n v="2.85"/>
    <n v="-576.78"/>
    <m/>
    <m/>
    <m/>
  </r>
  <r>
    <s v="FINQ8S-300 - FINQ8S-300"/>
    <s v="0001"/>
    <s v="BU0001"/>
    <m/>
    <s v="0000011093"/>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8"/>
    <x v="7"/>
    <m/>
    <m/>
    <m/>
    <s v="Debit"/>
    <s v="Accrual"/>
    <x v="1"/>
    <n v="147.72"/>
    <s v="CAD"/>
    <n v="1.37"/>
    <n v="202.38"/>
    <s v="USD"/>
    <n v="2.85"/>
    <n v="576.78"/>
    <m/>
    <m/>
    <m/>
  </r>
  <r>
    <s v="FINQ8S-300 - FINQ8S-300"/>
    <s v="0001"/>
    <s v="BU0001"/>
    <m/>
    <m/>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6"/>
    <x v="5"/>
    <m/>
    <m/>
    <m/>
    <s v="Cred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12"/>
    <x v="11"/>
    <m/>
    <m/>
    <m/>
    <s v="Deb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4"/>
    <x v="4"/>
    <m/>
    <m/>
    <m/>
    <s v="Credit"/>
    <s v="Accrual"/>
    <x v="1"/>
    <n v="-6422.5"/>
    <s v="CAD"/>
    <n v="1.37"/>
    <n v="-8798.83"/>
    <s v="USD"/>
    <n v="2.85"/>
    <n v="-25076.67"/>
    <m/>
    <m/>
    <m/>
  </r>
  <r>
    <s v="FINQ8S-300 - FINQ8S-300"/>
    <s v="0001"/>
    <s v="BU0001"/>
    <m/>
    <m/>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0"/>
    <x v="0"/>
    <m/>
    <m/>
    <m/>
    <s v="Debit"/>
    <s v="Accrual"/>
    <x v="1"/>
    <n v="6422.5"/>
    <s v="CAD"/>
    <n v="1.37"/>
    <n v="8798.83"/>
    <s v="USD"/>
    <n v="2.85"/>
    <n v="25076.67"/>
    <m/>
    <m/>
    <m/>
  </r>
  <r>
    <s v="FINQ8S-300 - FINQ8S-300"/>
    <s v="0001"/>
    <s v="BU0001"/>
    <m/>
    <m/>
    <s v="0000000110"/>
    <m/>
    <m/>
    <m/>
    <m/>
    <m/>
    <s v="Local"/>
    <m/>
    <m/>
    <s v="Depreciation"/>
    <s v="220"/>
    <s v="CT-100080838"/>
    <s v="33333"/>
    <s v="LC-100065287"/>
    <s v="AG-100055808"/>
    <m/>
    <s v="0000011093"/>
    <s v="Lessee"/>
    <s v="1000"/>
    <x v="0"/>
    <s v="Finance"/>
    <s v="IAC0001 - EQUIPMENT"/>
    <s v="UN-100135413"/>
    <s v="2025023676"/>
    <m/>
    <m/>
    <m/>
    <m/>
    <m/>
    <s v="Post"/>
    <s v="Posted"/>
    <s v="Open"/>
    <m/>
    <x v="0"/>
    <x v="0"/>
    <d v="2025-01-31T00:00:00"/>
    <d v="2025-01-31T00:00:00"/>
    <d v="2025-01-31T00:00:00"/>
    <s v="SA"/>
    <s v="01"/>
    <x v="10"/>
    <x v="9"/>
    <m/>
    <m/>
    <m/>
    <s v="Credit"/>
    <s v="Depreciation"/>
    <x v="1"/>
    <n v="-6406.72"/>
    <s v="CAD"/>
    <n v="1.37"/>
    <n v="-8777.2000000000007"/>
    <s v="USD"/>
    <n v="2.85"/>
    <n v="-25015.02"/>
    <m/>
    <m/>
    <m/>
  </r>
  <r>
    <s v="FINQ8S-300 - FINQ8S-300"/>
    <s v="0001"/>
    <s v="BU0001"/>
    <m/>
    <s v="0000011093"/>
    <s v="0000000110"/>
    <m/>
    <m/>
    <m/>
    <m/>
    <m/>
    <s v="Local"/>
    <m/>
    <m/>
    <s v="Depreciation"/>
    <s v="220"/>
    <s v="CT-100080838"/>
    <s v="33333"/>
    <s v="LC-100065287"/>
    <s v="AG-100055808"/>
    <m/>
    <s v="0000011093"/>
    <s v="Lessee"/>
    <s v="1000"/>
    <x v="0"/>
    <s v="Finance"/>
    <s v="IAC0001 - EQUIPMENT"/>
    <s v="UN-100135413"/>
    <s v="2025023676"/>
    <m/>
    <m/>
    <m/>
    <m/>
    <m/>
    <s v="Post"/>
    <s v="Posted"/>
    <s v="Open"/>
    <m/>
    <x v="0"/>
    <x v="0"/>
    <d v="2025-01-31T00:00:00"/>
    <d v="2025-01-31T00:00:00"/>
    <d v="2025-01-31T00:00:00"/>
    <s v="SA"/>
    <s v="01"/>
    <x v="11"/>
    <x v="10"/>
    <m/>
    <m/>
    <m/>
    <s v="Debit"/>
    <s v="Depreciation"/>
    <x v="1"/>
    <n v="6406.72"/>
    <s v="CAD"/>
    <n v="1.37"/>
    <n v="8777.2000000000007"/>
    <s v="USD"/>
    <n v="2.85"/>
    <n v="25015.0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s v="FINQ8S-300 - FINQ8S-300"/>
    <s v="0001"/>
    <s v="BU0001"/>
    <m/>
    <m/>
    <s v="0000000120"/>
    <m/>
    <m/>
    <m/>
    <m/>
    <m/>
    <s v="Local"/>
    <m/>
    <m/>
    <s v="Liability"/>
    <s v="Z01"/>
    <s v="CT-100080835"/>
    <s v="22222"/>
    <s v="LC-100065284"/>
    <s v="AG-100055306"/>
    <m/>
    <s v="0000012999"/>
    <s v="Lessee"/>
    <s v="1000"/>
    <x v="0"/>
    <s v="Finance"/>
    <s v="IAC0001 - EQUIPMENT"/>
    <s v="UN-100135411"/>
    <s v="2025023595"/>
    <m/>
    <m/>
    <m/>
    <m/>
    <m/>
    <s v="Post"/>
    <s v="Posted"/>
    <s v="Open"/>
    <m/>
    <x v="0"/>
    <x v="0"/>
    <d v="2025-01-01T00:00:00"/>
    <d v="2025-01-01T00:00:00"/>
    <d v="2025-01-01T00:00:00"/>
    <s v="SA"/>
    <m/>
    <x v="0"/>
    <x v="0"/>
    <m/>
    <m/>
    <m/>
    <s v="Credit"/>
    <s v="Recognition"/>
    <x v="0"/>
    <n v="-189810.28"/>
    <s v="CAD"/>
    <n v="1.54"/>
    <n v="-292307.83"/>
    <s v="USD"/>
    <n v="2.85"/>
    <n v="-833077.32"/>
    <m/>
    <m/>
    <m/>
  </r>
  <r>
    <s v="FINQ8S-300 - FINQ8S-300"/>
    <s v="0001"/>
    <s v="BU0001"/>
    <m/>
    <m/>
    <s v="0000000120"/>
    <m/>
    <m/>
    <m/>
    <m/>
    <m/>
    <s v="Local"/>
    <m/>
    <m/>
    <s v="Liability"/>
    <s v="Z01"/>
    <s v="CT-100080835"/>
    <s v="22222"/>
    <s v="LC-100065284"/>
    <s v="AG-100055306"/>
    <m/>
    <s v="0000012999"/>
    <s v="Lessee"/>
    <s v="1000"/>
    <x v="0"/>
    <s v="Finance"/>
    <s v="IAC0001 - EQUIPMENT"/>
    <s v="UN-100135411"/>
    <s v="2025023595"/>
    <m/>
    <m/>
    <m/>
    <m/>
    <m/>
    <s v="Post"/>
    <s v="Posted"/>
    <s v="Open"/>
    <m/>
    <x v="0"/>
    <x v="0"/>
    <d v="2025-01-01T00:00:00"/>
    <d v="2025-01-01T00:00:00"/>
    <d v="2025-01-01T00:00:00"/>
    <s v="SA"/>
    <m/>
    <x v="1"/>
    <x v="1"/>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0"/>
    <s v="Finance"/>
    <s v="IAC0001 - EQUIPMENT"/>
    <s v="UN-100135411"/>
    <s v="2025023596"/>
    <m/>
    <m/>
    <m/>
    <m/>
    <m/>
    <s v="Post"/>
    <s v="Posted"/>
    <s v="Open"/>
    <m/>
    <x v="0"/>
    <x v="0"/>
    <d v="2025-01-01T00:00:00"/>
    <d v="2025-01-01T00:00:00"/>
    <d v="2025-01-01T00:00:00"/>
    <s v="SA"/>
    <m/>
    <x v="2"/>
    <x v="2"/>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0"/>
    <s v="Finance"/>
    <s v="IAC0001 - EQUIPMENT"/>
    <s v="UN-100135411"/>
    <s v="2025023596"/>
    <m/>
    <m/>
    <m/>
    <m/>
    <m/>
    <s v="Post"/>
    <s v="Posted"/>
    <s v="Open"/>
    <m/>
    <x v="0"/>
    <x v="0"/>
    <d v="2025-01-01T00:00:00"/>
    <d v="2025-01-01T00:00:00"/>
    <d v="2025-01-01T00:00:00"/>
    <s v="SA"/>
    <m/>
    <x v="1"/>
    <x v="1"/>
    <m/>
    <m/>
    <m/>
    <s v="Credit"/>
    <s v="Recognition"/>
    <x v="0"/>
    <n v="-189810.28"/>
    <s v="CAD"/>
    <n v="1.54"/>
    <n v="-292307.83"/>
    <s v="USD"/>
    <n v="2.85"/>
    <n v="-833077.32"/>
    <m/>
    <m/>
    <m/>
  </r>
  <r>
    <s v="FINQ8S-300 - FINQ8S-300"/>
    <s v="0001"/>
    <s v="BU0001"/>
    <m/>
    <m/>
    <s v="0000000120"/>
    <m/>
    <m/>
    <m/>
    <m/>
    <m/>
    <s v="Local"/>
    <m/>
    <m/>
    <s v="Liability"/>
    <s v="Z01"/>
    <s v="CT-100080835"/>
    <s v="22222"/>
    <s v="LC-100065284"/>
    <s v="AG-100055306"/>
    <m/>
    <s v="0000012999"/>
    <s v="Lessee"/>
    <s v="1000"/>
    <x v="1"/>
    <s v="Operating"/>
    <s v="IAC0001 - EQUIPMENT"/>
    <s v="UN-100135411"/>
    <s v="2025023597"/>
    <m/>
    <m/>
    <m/>
    <m/>
    <m/>
    <s v="Post"/>
    <s v="Posted"/>
    <s v="Open"/>
    <m/>
    <x v="0"/>
    <x v="0"/>
    <d v="2025-01-01T00:00:00"/>
    <d v="2025-01-01T00:00:00"/>
    <d v="2025-01-01T00:00:00"/>
    <s v="SA"/>
    <m/>
    <x v="0"/>
    <x v="0"/>
    <m/>
    <m/>
    <m/>
    <s v="Credit"/>
    <s v="Recognition"/>
    <x v="0"/>
    <n v="-189810.28"/>
    <s v="CAD"/>
    <n v="1.54"/>
    <n v="-292307.83"/>
    <s v="USD"/>
    <n v="2.85"/>
    <n v="-833077.32"/>
    <m/>
    <m/>
    <m/>
  </r>
  <r>
    <s v="FINQ8S-300 - FINQ8S-300"/>
    <s v="0001"/>
    <s v="BU0001"/>
    <m/>
    <m/>
    <s v="0000000120"/>
    <m/>
    <m/>
    <m/>
    <m/>
    <m/>
    <s v="Local"/>
    <m/>
    <m/>
    <s v="Liability"/>
    <s v="Z01"/>
    <s v="CT-100080835"/>
    <s v="22222"/>
    <s v="LC-100065284"/>
    <s v="AG-100055306"/>
    <m/>
    <s v="0000012999"/>
    <s v="Lessee"/>
    <s v="1000"/>
    <x v="1"/>
    <s v="Operating"/>
    <s v="IAC0001 - EQUIPMENT"/>
    <s v="UN-100135411"/>
    <s v="2025023597"/>
    <m/>
    <m/>
    <m/>
    <m/>
    <m/>
    <s v="Post"/>
    <s v="Posted"/>
    <s v="Open"/>
    <m/>
    <x v="0"/>
    <x v="0"/>
    <d v="2025-01-01T00:00:00"/>
    <d v="2025-01-01T00:00:00"/>
    <d v="2025-01-01T00:00:00"/>
    <s v="SA"/>
    <m/>
    <x v="1"/>
    <x v="1"/>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1"/>
    <s v="Operating"/>
    <s v="IAC0001 - EQUIPMENT"/>
    <s v="UN-100135411"/>
    <s v="2025023598"/>
    <m/>
    <m/>
    <m/>
    <m/>
    <m/>
    <s v="Post"/>
    <s v="Posted"/>
    <s v="Open"/>
    <m/>
    <x v="0"/>
    <x v="0"/>
    <d v="2025-01-01T00:00:00"/>
    <d v="2025-01-01T00:00:00"/>
    <d v="2025-01-01T00:00:00"/>
    <s v="SA"/>
    <m/>
    <x v="2"/>
    <x v="2"/>
    <m/>
    <m/>
    <m/>
    <s v="Debit"/>
    <s v="Recognition"/>
    <x v="0"/>
    <n v="189810.28"/>
    <s v="CAD"/>
    <n v="1.54"/>
    <n v="292307.83"/>
    <s v="USD"/>
    <n v="2.85"/>
    <n v="833077.32"/>
    <m/>
    <m/>
    <m/>
  </r>
  <r>
    <s v="FINQ8S-300 - FINQ8S-300"/>
    <s v="0001"/>
    <s v="BU0001"/>
    <m/>
    <m/>
    <s v="0000000120"/>
    <m/>
    <m/>
    <m/>
    <m/>
    <m/>
    <s v="Local"/>
    <m/>
    <m/>
    <s v="Asset Capitalization"/>
    <s v="120"/>
    <s v="CT-100080835"/>
    <s v="22222"/>
    <s v="LC-100065284"/>
    <s v="AG-100055306"/>
    <m/>
    <s v="0000012999"/>
    <s v="Lessee"/>
    <s v="1000"/>
    <x v="1"/>
    <s v="Operating"/>
    <s v="IAC0001 - EQUIPMENT"/>
    <s v="UN-100135411"/>
    <s v="2025023598"/>
    <m/>
    <m/>
    <m/>
    <m/>
    <m/>
    <s v="Post"/>
    <s v="Posted"/>
    <s v="Open"/>
    <m/>
    <x v="0"/>
    <x v="0"/>
    <d v="2025-01-01T00:00:00"/>
    <d v="2025-01-01T00:00:00"/>
    <d v="2025-01-01T00:00:00"/>
    <s v="SA"/>
    <m/>
    <x v="1"/>
    <x v="1"/>
    <m/>
    <m/>
    <m/>
    <s v="Credit"/>
    <s v="Recognition"/>
    <x v="0"/>
    <n v="-189810.28"/>
    <s v="CAD"/>
    <n v="1.54"/>
    <n v="-292307.83"/>
    <s v="USD"/>
    <n v="2.85"/>
    <n v="-833077.32"/>
    <m/>
    <m/>
    <m/>
  </r>
  <r>
    <s v="FINQ8S-300 - FINQ8S-300"/>
    <s v="0001"/>
    <s v="BU0001"/>
    <m/>
    <m/>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3"/>
    <x v="3"/>
    <m/>
    <m/>
    <m/>
    <s v="Credit"/>
    <s v="Payment"/>
    <x v="0"/>
    <n v="-8000"/>
    <s v="CAD"/>
    <n v="1.54"/>
    <n v="-12320"/>
    <s v="USD"/>
    <n v="2.85"/>
    <n v="-35112"/>
    <m/>
    <m/>
    <m/>
  </r>
  <r>
    <s v="FINQ8S-300 - FINQ8S-300"/>
    <s v="0001"/>
    <s v="BU0001"/>
    <m/>
    <m/>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3"/>
    <x v="3"/>
    <m/>
    <m/>
    <m/>
    <s v="Credit"/>
    <s v="Payment"/>
    <x v="0"/>
    <n v="-900"/>
    <s v="CAD"/>
    <n v="1.54"/>
    <n v="-1386"/>
    <s v="USD"/>
    <n v="2.85"/>
    <n v="-3950.1"/>
    <m/>
    <m/>
    <m/>
  </r>
  <r>
    <s v="FINQ8S-300 - FINQ8S-300"/>
    <s v="0001"/>
    <s v="BU0001"/>
    <m/>
    <s v="0000012999"/>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4"/>
    <x v="4"/>
    <m/>
    <m/>
    <m/>
    <s v="Debit"/>
    <s v="Payment"/>
    <x v="0"/>
    <n v="8000"/>
    <s v="CAD"/>
    <n v="1.54"/>
    <n v="12320"/>
    <s v="USD"/>
    <n v="2.85"/>
    <n v="35112"/>
    <m/>
    <m/>
    <m/>
  </r>
  <r>
    <s v="FINQ8S-300 - FINQ8S-300"/>
    <s v="0001"/>
    <s v="BU0001"/>
    <m/>
    <m/>
    <s v="0000000120"/>
    <m/>
    <m/>
    <m/>
    <m/>
    <m/>
    <s v="Local"/>
    <m/>
    <m/>
    <s v="Payment"/>
    <s v="Z02"/>
    <s v="CT-100080835"/>
    <s v="22222"/>
    <s v="LC-100065284"/>
    <s v="AG-100055306"/>
    <m/>
    <s v="0000012999"/>
    <s v="Lessee"/>
    <s v="1000"/>
    <x v="0"/>
    <s v="Finance"/>
    <s v="IAC0001 - EQUIPMENT"/>
    <s v="UN-100135411"/>
    <s v="2025023599"/>
    <m/>
    <m/>
    <m/>
    <m/>
    <m/>
    <s v="Post"/>
    <s v="Posted"/>
    <s v="Open"/>
    <m/>
    <x v="0"/>
    <x v="0"/>
    <d v="2025-01-01T00:00:00"/>
    <d v="2025-01-01T00:00:00"/>
    <d v="2025-01-01T00:00:00"/>
    <s v="A1"/>
    <m/>
    <x v="5"/>
    <x v="5"/>
    <m/>
    <m/>
    <m/>
    <s v="Debit"/>
    <s v="Payment"/>
    <x v="0"/>
    <n v="900"/>
    <s v="CAD"/>
    <n v="1.54"/>
    <n v="1386"/>
    <s v="USD"/>
    <n v="2.85"/>
    <n v="3950.1"/>
    <m/>
    <m/>
    <m/>
  </r>
  <r>
    <s v="FINQ8S-300 - FINQ8S-300"/>
    <s v="0001"/>
    <s v="BU0001"/>
    <m/>
    <m/>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3"/>
    <x v="3"/>
    <m/>
    <m/>
    <m/>
    <s v="Credit"/>
    <s v="Payment"/>
    <x v="0"/>
    <n v="-8000"/>
    <s v="CAD"/>
    <n v="1.54"/>
    <n v="-12320"/>
    <s v="USD"/>
    <n v="2.85"/>
    <n v="-35112"/>
    <m/>
    <m/>
    <m/>
  </r>
  <r>
    <s v="FINQ8S-300 - FINQ8S-300"/>
    <s v="0001"/>
    <s v="BU0001"/>
    <m/>
    <m/>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3"/>
    <x v="3"/>
    <m/>
    <m/>
    <m/>
    <s v="Credit"/>
    <s v="Payment"/>
    <x v="0"/>
    <n v="-900"/>
    <s v="CAD"/>
    <n v="1.54"/>
    <n v="-1386"/>
    <s v="USD"/>
    <n v="2.85"/>
    <n v="-3950.1"/>
    <m/>
    <m/>
    <m/>
  </r>
  <r>
    <s v="FINQ8S-300 - FINQ8S-300"/>
    <s v="0001"/>
    <s v="BU0001"/>
    <m/>
    <s v="0000012999"/>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4"/>
    <x v="4"/>
    <m/>
    <m/>
    <m/>
    <s v="Debit"/>
    <s v="Payment"/>
    <x v="0"/>
    <n v="8000"/>
    <s v="CAD"/>
    <n v="1.54"/>
    <n v="12320"/>
    <s v="USD"/>
    <n v="2.85"/>
    <n v="35112"/>
    <m/>
    <m/>
    <m/>
  </r>
  <r>
    <s v="FINQ8S-300 - FINQ8S-300"/>
    <s v="0001"/>
    <s v="BU0001"/>
    <m/>
    <m/>
    <s v="0000000120"/>
    <m/>
    <m/>
    <m/>
    <m/>
    <m/>
    <s v="Local"/>
    <m/>
    <m/>
    <s v="Payment"/>
    <s v="Z02"/>
    <s v="CT-100080835"/>
    <s v="22222"/>
    <s v="LC-100065284"/>
    <s v="AG-100055306"/>
    <m/>
    <s v="0000012999"/>
    <s v="Lessee"/>
    <s v="1000"/>
    <x v="1"/>
    <s v="Operating"/>
    <s v="IAC0001 - EQUIPMENT"/>
    <s v="UN-100135411"/>
    <s v="2025023600"/>
    <m/>
    <m/>
    <m/>
    <m/>
    <m/>
    <s v="Post"/>
    <s v="Posted"/>
    <s v="Open"/>
    <m/>
    <x v="0"/>
    <x v="0"/>
    <d v="2025-01-01T00:00:00"/>
    <d v="2025-01-01T00:00:00"/>
    <d v="2025-01-01T00:00:00"/>
    <s v="A1"/>
    <m/>
    <x v="6"/>
    <x v="5"/>
    <m/>
    <m/>
    <m/>
    <s v="Debit"/>
    <s v="Payment"/>
    <x v="0"/>
    <n v="900"/>
    <s v="CAD"/>
    <n v="1.54"/>
    <n v="1386"/>
    <s v="USD"/>
    <n v="2.85"/>
    <n v="3950.1"/>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3"/>
    <x v="3"/>
    <m/>
    <m/>
    <m/>
    <s v="Credit"/>
    <s v="Payment"/>
    <x v="1"/>
    <n v="-6500"/>
    <s v="CAD"/>
    <n v="1.37"/>
    <n v="-8905"/>
    <s v="USD"/>
    <n v="2.85"/>
    <n v="-25379.25"/>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3"/>
    <x v="3"/>
    <m/>
    <m/>
    <m/>
    <s v="Credit"/>
    <s v="Payment"/>
    <x v="1"/>
    <n v="-250"/>
    <s v="CAD"/>
    <n v="1.37"/>
    <n v="-342.5"/>
    <s v="USD"/>
    <n v="2.85"/>
    <n v="-976.13"/>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7"/>
    <x v="6"/>
    <m/>
    <m/>
    <m/>
    <s v="Debit"/>
    <s v="Payment"/>
    <x v="1"/>
    <n v="154.07"/>
    <s v="CAD"/>
    <n v="1.37"/>
    <n v="211.07"/>
    <s v="USD"/>
    <n v="2.85"/>
    <n v="601.54999999999995"/>
    <m/>
    <m/>
    <m/>
  </r>
  <r>
    <s v="FINQ8S-300 - FINQ8S-300"/>
    <s v="0001"/>
    <s v="BU0001"/>
    <m/>
    <s v="0000011093"/>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4"/>
    <x v="4"/>
    <m/>
    <m/>
    <m/>
    <s v="Debit"/>
    <s v="Payment"/>
    <x v="1"/>
    <n v="6345.93"/>
    <s v="CAD"/>
    <n v="1.37"/>
    <n v="8693.93"/>
    <s v="USD"/>
    <n v="2.85"/>
    <n v="24777.7"/>
    <m/>
    <m/>
    <m/>
  </r>
  <r>
    <s v="FINQ8S-300 - FINQ8S-300"/>
    <s v="0001"/>
    <s v="BU0001"/>
    <m/>
    <m/>
    <s v="0000000110"/>
    <m/>
    <m/>
    <m/>
    <m/>
    <m/>
    <s v="Local"/>
    <m/>
    <m/>
    <s v="Payment"/>
    <s v="Z02"/>
    <s v="CT-100080838"/>
    <s v="33333"/>
    <s v="LC-100065287"/>
    <s v="AG-100055808"/>
    <m/>
    <s v="0000011093"/>
    <s v="Lessee"/>
    <s v="1000"/>
    <x v="1"/>
    <s v="Operating"/>
    <s v="IAC0001 - EQUIPMENT"/>
    <s v="UN-100135413"/>
    <s v="2025023671"/>
    <m/>
    <m/>
    <m/>
    <m/>
    <m/>
    <s v="Post"/>
    <s v="Posted"/>
    <s v="Open"/>
    <m/>
    <x v="0"/>
    <x v="0"/>
    <d v="2025-01-01T00:00:00"/>
    <d v="2025-01-01T00:00:00"/>
    <d v="2025-01-01T00:00:00"/>
    <s v="A1"/>
    <m/>
    <x v="6"/>
    <x v="5"/>
    <m/>
    <m/>
    <m/>
    <s v="Debit"/>
    <s v="Payment"/>
    <x v="1"/>
    <n v="250"/>
    <s v="CAD"/>
    <n v="1.37"/>
    <n v="342.5"/>
    <s v="USD"/>
    <n v="2.85"/>
    <n v="976.13"/>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3"/>
    <x v="3"/>
    <m/>
    <m/>
    <m/>
    <s v="Credit"/>
    <s v="Payment"/>
    <x v="1"/>
    <n v="-6500"/>
    <s v="CAD"/>
    <n v="1.37"/>
    <n v="-8905"/>
    <s v="USD"/>
    <n v="2.85"/>
    <n v="-25379.25"/>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3"/>
    <x v="3"/>
    <m/>
    <m/>
    <m/>
    <s v="Credit"/>
    <s v="Payment"/>
    <x v="1"/>
    <n v="-250"/>
    <s v="CAD"/>
    <n v="1.37"/>
    <n v="-342.5"/>
    <s v="USD"/>
    <n v="2.85"/>
    <n v="-976.13"/>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7"/>
    <x v="6"/>
    <m/>
    <m/>
    <m/>
    <s v="Debit"/>
    <s v="Payment"/>
    <x v="1"/>
    <n v="154.07"/>
    <s v="CAD"/>
    <n v="1.37"/>
    <n v="211.07"/>
    <s v="USD"/>
    <n v="2.85"/>
    <n v="601.54999999999995"/>
    <m/>
    <m/>
    <m/>
  </r>
  <r>
    <s v="FINQ8S-300 - FINQ8S-300"/>
    <s v="0001"/>
    <s v="BU0001"/>
    <m/>
    <s v="0000011093"/>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4"/>
    <x v="4"/>
    <m/>
    <m/>
    <m/>
    <s v="Debit"/>
    <s v="Payment"/>
    <x v="1"/>
    <n v="6345.93"/>
    <s v="CAD"/>
    <n v="1.37"/>
    <n v="8693.93"/>
    <s v="USD"/>
    <n v="2.85"/>
    <n v="24777.7"/>
    <m/>
    <m/>
    <m/>
  </r>
  <r>
    <s v="FINQ8S-300 - FINQ8S-300"/>
    <s v="0001"/>
    <s v="BU0001"/>
    <m/>
    <m/>
    <s v="0000000110"/>
    <m/>
    <m/>
    <m/>
    <m/>
    <m/>
    <s v="Local"/>
    <m/>
    <m/>
    <s v="Payment"/>
    <s v="Z02"/>
    <s v="CT-100080838"/>
    <s v="33333"/>
    <s v="LC-100065287"/>
    <s v="AG-100055808"/>
    <m/>
    <s v="0000011093"/>
    <s v="Lessee"/>
    <s v="1000"/>
    <x v="0"/>
    <s v="Finance"/>
    <s v="IAC0001 - EQUIPMENT"/>
    <s v="UN-100135413"/>
    <s v="2025023672"/>
    <m/>
    <m/>
    <m/>
    <m/>
    <m/>
    <s v="Post"/>
    <s v="Posted"/>
    <s v="Open"/>
    <m/>
    <x v="0"/>
    <x v="0"/>
    <d v="2025-01-01T00:00:00"/>
    <d v="2025-01-01T00:00:00"/>
    <d v="2025-01-01T00:00:00"/>
    <s v="A1"/>
    <m/>
    <x v="6"/>
    <x v="5"/>
    <m/>
    <m/>
    <m/>
    <s v="Debit"/>
    <s v="Payment"/>
    <x v="1"/>
    <n v="250"/>
    <s v="CAD"/>
    <n v="1.37"/>
    <n v="342.5"/>
    <s v="USD"/>
    <n v="2.85"/>
    <n v="976.13"/>
    <m/>
    <m/>
    <m/>
  </r>
  <r>
    <s v="FINQ8S-300 - FINQ8S-300"/>
    <s v="0001"/>
    <s v="BU0001"/>
    <m/>
    <m/>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7"/>
    <x v="6"/>
    <m/>
    <m/>
    <m/>
    <s v="Credit"/>
    <s v="Accrual"/>
    <x v="0"/>
    <n v="-181.81"/>
    <s v="CAD"/>
    <n v="1.54"/>
    <n v="-279.99"/>
    <s v="USD"/>
    <n v="2.85"/>
    <n v="-797.97"/>
    <m/>
    <m/>
    <m/>
  </r>
  <r>
    <s v="FINQ8S-300 - FINQ8S-300"/>
    <s v="0001"/>
    <s v="BU0001"/>
    <m/>
    <s v="0000012999"/>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8"/>
    <x v="7"/>
    <m/>
    <m/>
    <m/>
    <s v="Debit"/>
    <s v="Accrual"/>
    <x v="0"/>
    <n v="181.81"/>
    <s v="CAD"/>
    <n v="1.54"/>
    <n v="279.99"/>
    <s v="USD"/>
    <n v="2.85"/>
    <n v="797.97"/>
    <m/>
    <m/>
    <m/>
  </r>
  <r>
    <s v="FINQ8S-300 - FINQ8S-300"/>
    <s v="0001"/>
    <s v="BU0001"/>
    <m/>
    <m/>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6"/>
    <x v="5"/>
    <m/>
    <m/>
    <m/>
    <s v="Cred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9"/>
    <x v="8"/>
    <m/>
    <m/>
    <m/>
    <s v="Deb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4"/>
    <x v="4"/>
    <m/>
    <m/>
    <m/>
    <s v="Credit"/>
    <s v="Accrual"/>
    <x v="0"/>
    <n v="-102336"/>
    <s v="CAD"/>
    <n v="1.54"/>
    <n v="-157597.44"/>
    <s v="USD"/>
    <n v="2.85"/>
    <n v="-449152.71"/>
    <m/>
    <m/>
    <m/>
  </r>
  <r>
    <s v="FINQ8S-300 - FINQ8S-300"/>
    <s v="0001"/>
    <s v="BU0001"/>
    <m/>
    <m/>
    <s v="0000000120"/>
    <m/>
    <m/>
    <m/>
    <m/>
    <m/>
    <s v="Local"/>
    <m/>
    <m/>
    <s v="Accrual"/>
    <s v="500"/>
    <s v="CT-100080835"/>
    <s v="22222"/>
    <s v="LC-100065284"/>
    <s v="AG-100055306"/>
    <m/>
    <s v="0000012999"/>
    <s v="Lessee"/>
    <s v="1000"/>
    <x v="1"/>
    <s v="Operating"/>
    <s v="IAC0001 - EQUIPMENT"/>
    <s v="UN-100135411"/>
    <s v="2025023601"/>
    <m/>
    <m/>
    <m/>
    <m/>
    <m/>
    <s v="Post"/>
    <s v="Posted"/>
    <s v="Open"/>
    <m/>
    <x v="0"/>
    <x v="0"/>
    <d v="2025-01-31T00:00:00"/>
    <d v="2025-01-31T00:00:00"/>
    <d v="2025-01-31T00:00:00"/>
    <s v="SA"/>
    <m/>
    <x v="0"/>
    <x v="0"/>
    <m/>
    <m/>
    <m/>
    <s v="Debit"/>
    <s v="Accrual"/>
    <x v="0"/>
    <n v="102336"/>
    <s v="CAD"/>
    <n v="1.54"/>
    <n v="157597.44"/>
    <s v="USD"/>
    <n v="2.85"/>
    <n v="449152.71"/>
    <m/>
    <m/>
    <m/>
  </r>
  <r>
    <s v="FINQ8S-300 - FINQ8S-300"/>
    <s v="0001"/>
    <s v="BU0001"/>
    <m/>
    <m/>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7"/>
    <x v="6"/>
    <m/>
    <m/>
    <m/>
    <s v="Credit"/>
    <s v="Accrual"/>
    <x v="0"/>
    <n v="-181.81"/>
    <s v="CAD"/>
    <n v="1.54"/>
    <n v="-279.99"/>
    <s v="USD"/>
    <n v="2.85"/>
    <n v="-797.97"/>
    <m/>
    <m/>
    <m/>
  </r>
  <r>
    <s v="FINQ8S-300 - FINQ8S-300"/>
    <s v="0001"/>
    <s v="BU0001"/>
    <m/>
    <s v="0000012999"/>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8"/>
    <x v="7"/>
    <m/>
    <m/>
    <m/>
    <s v="Debit"/>
    <s v="Accrual"/>
    <x v="0"/>
    <n v="181.81"/>
    <s v="CAD"/>
    <n v="1.54"/>
    <n v="279.99"/>
    <s v="USD"/>
    <n v="2.85"/>
    <n v="797.97"/>
    <m/>
    <m/>
    <m/>
  </r>
  <r>
    <s v="FINQ8S-300 - FINQ8S-300"/>
    <s v="0001"/>
    <s v="BU0001"/>
    <m/>
    <m/>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5"/>
    <x v="5"/>
    <m/>
    <m/>
    <m/>
    <s v="Cred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9"/>
    <x v="8"/>
    <m/>
    <m/>
    <m/>
    <s v="Deb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4"/>
    <x v="4"/>
    <m/>
    <m/>
    <m/>
    <s v="Credit"/>
    <s v="Accrual"/>
    <x v="0"/>
    <n v="-102336"/>
    <s v="CAD"/>
    <n v="1.54"/>
    <n v="-157597.44"/>
    <s v="USD"/>
    <n v="2.85"/>
    <n v="-449152.71"/>
    <m/>
    <m/>
    <m/>
  </r>
  <r>
    <s v="FINQ8S-300 - FINQ8S-300"/>
    <s v="0001"/>
    <s v="BU0001"/>
    <m/>
    <m/>
    <s v="0000000120"/>
    <m/>
    <m/>
    <m/>
    <m/>
    <m/>
    <s v="Local"/>
    <m/>
    <m/>
    <s v="Accrual"/>
    <s v="500"/>
    <s v="CT-100080835"/>
    <s v="22222"/>
    <s v="LC-100065284"/>
    <s v="AG-100055306"/>
    <m/>
    <s v="0000012999"/>
    <s v="Lessee"/>
    <s v="1000"/>
    <x v="0"/>
    <s v="Finance"/>
    <s v="IAC0001 - EQUIPMENT"/>
    <s v="UN-100135411"/>
    <s v="2025023602"/>
    <m/>
    <m/>
    <m/>
    <m/>
    <m/>
    <s v="Post"/>
    <s v="Posted"/>
    <s v="Open"/>
    <m/>
    <x v="0"/>
    <x v="0"/>
    <d v="2025-01-31T00:00:00"/>
    <d v="2025-01-31T00:00:00"/>
    <d v="2025-01-31T00:00:00"/>
    <s v="SA"/>
    <m/>
    <x v="0"/>
    <x v="0"/>
    <m/>
    <m/>
    <m/>
    <s v="Debit"/>
    <s v="Accrual"/>
    <x v="0"/>
    <n v="102336"/>
    <s v="CAD"/>
    <n v="1.54"/>
    <n v="157597.44"/>
    <s v="USD"/>
    <n v="2.85"/>
    <n v="449152.71"/>
    <m/>
    <m/>
    <m/>
  </r>
  <r>
    <s v="FINQ8S-300 - FINQ8S-300"/>
    <s v="0001"/>
    <s v="BU0001"/>
    <m/>
    <m/>
    <s v="0000000120"/>
    <m/>
    <m/>
    <m/>
    <m/>
    <m/>
    <s v="Local"/>
    <m/>
    <m/>
    <s v="Depreciation"/>
    <s v="220"/>
    <s v="CT-100080835"/>
    <s v="22222"/>
    <s v="LC-100065284"/>
    <s v="AG-100055306"/>
    <m/>
    <s v="0000012999"/>
    <s v="Lessee"/>
    <s v="1000"/>
    <x v="0"/>
    <s v="Finance"/>
    <s v="IAC0001 - EQUIPMENT"/>
    <s v="UN-100135411"/>
    <s v="2025023603"/>
    <m/>
    <m/>
    <m/>
    <m/>
    <m/>
    <s v="Post"/>
    <s v="Posted"/>
    <s v="Open"/>
    <m/>
    <x v="0"/>
    <x v="0"/>
    <d v="2025-01-31T00:00:00"/>
    <d v="2025-01-31T00:00:00"/>
    <d v="2025-01-31T00:00:00"/>
    <s v="SA"/>
    <s v="01"/>
    <x v="10"/>
    <x v="9"/>
    <m/>
    <m/>
    <m/>
    <s v="Credit"/>
    <s v="Depreciation"/>
    <x v="0"/>
    <n v="-7908.76"/>
    <s v="CAD"/>
    <n v="1.54"/>
    <n v="-12179.49"/>
    <s v="USD"/>
    <n v="2.85"/>
    <n v="-34711.56"/>
    <m/>
    <m/>
    <m/>
  </r>
  <r>
    <s v="FINQ8S-300 - FINQ8S-300"/>
    <s v="0001"/>
    <s v="BU0001"/>
    <m/>
    <s v="0000012999"/>
    <s v="0000000120"/>
    <m/>
    <m/>
    <m/>
    <m/>
    <m/>
    <s v="Local"/>
    <m/>
    <m/>
    <s v="Depreciation"/>
    <s v="220"/>
    <s v="CT-100080835"/>
    <s v="22222"/>
    <s v="LC-100065284"/>
    <s v="AG-100055306"/>
    <m/>
    <s v="0000012999"/>
    <s v="Lessee"/>
    <s v="1000"/>
    <x v="0"/>
    <s v="Finance"/>
    <s v="IAC0001 - EQUIPMENT"/>
    <s v="UN-100135411"/>
    <s v="2025023603"/>
    <m/>
    <m/>
    <m/>
    <m/>
    <m/>
    <s v="Post"/>
    <s v="Posted"/>
    <s v="Open"/>
    <m/>
    <x v="0"/>
    <x v="0"/>
    <d v="2025-01-31T00:00:00"/>
    <d v="2025-01-31T00:00:00"/>
    <d v="2025-01-31T00:00:00"/>
    <s v="SA"/>
    <s v="01"/>
    <x v="11"/>
    <x v="10"/>
    <m/>
    <m/>
    <m/>
    <s v="Debit"/>
    <s v="Depreciation"/>
    <x v="0"/>
    <n v="7908.76"/>
    <s v="CAD"/>
    <n v="1.54"/>
    <n v="12179.49"/>
    <s v="USD"/>
    <n v="2.85"/>
    <n v="34711.56"/>
    <m/>
    <m/>
    <m/>
  </r>
  <r>
    <s v="FINQ8S-300 - FINQ8S-300"/>
    <s v="0001"/>
    <s v="BU0001"/>
    <m/>
    <m/>
    <s v="0000000120"/>
    <m/>
    <m/>
    <m/>
    <m/>
    <m/>
    <s v="Local"/>
    <m/>
    <m/>
    <s v="Depreciation"/>
    <s v="220"/>
    <s v="CT-100080835"/>
    <s v="22222"/>
    <s v="LC-100065284"/>
    <s v="AG-100055306"/>
    <m/>
    <s v="0000012999"/>
    <s v="Lessee"/>
    <s v="1000"/>
    <x v="1"/>
    <s v="Operating"/>
    <s v="IAC0001 - EQUIPMENT"/>
    <s v="UN-100135411"/>
    <s v="2025023604"/>
    <m/>
    <m/>
    <m/>
    <m/>
    <m/>
    <s v="Post"/>
    <s v="Posted"/>
    <s v="Open"/>
    <m/>
    <x v="0"/>
    <x v="0"/>
    <d v="2025-01-31T00:00:00"/>
    <d v="2025-01-31T00:00:00"/>
    <d v="2025-01-31T00:00:00"/>
    <s v="SA"/>
    <s v="40"/>
    <x v="10"/>
    <x v="9"/>
    <m/>
    <m/>
    <m/>
    <s v="Credit"/>
    <s v="Depreciation"/>
    <x v="0"/>
    <n v="-7818.19"/>
    <s v="CAD"/>
    <n v="1.54"/>
    <n v="-12040.01"/>
    <s v="USD"/>
    <n v="2.85"/>
    <n v="-34314.03"/>
    <m/>
    <m/>
    <m/>
  </r>
  <r>
    <s v="FINQ8S-300 - FINQ8S-300"/>
    <s v="0001"/>
    <s v="BU0001"/>
    <m/>
    <s v="0000012999"/>
    <s v="0000000120"/>
    <m/>
    <m/>
    <m/>
    <m/>
    <m/>
    <s v="Local"/>
    <m/>
    <m/>
    <s v="Depreciation"/>
    <s v="220"/>
    <s v="CT-100080835"/>
    <s v="22222"/>
    <s v="LC-100065284"/>
    <s v="AG-100055306"/>
    <m/>
    <s v="0000012999"/>
    <s v="Lessee"/>
    <s v="1000"/>
    <x v="1"/>
    <s v="Operating"/>
    <s v="IAC0001 - EQUIPMENT"/>
    <s v="UN-100135411"/>
    <s v="2025023604"/>
    <m/>
    <m/>
    <m/>
    <m/>
    <m/>
    <s v="Post"/>
    <s v="Posted"/>
    <s v="Open"/>
    <m/>
    <x v="0"/>
    <x v="0"/>
    <d v="2025-01-31T00:00:00"/>
    <d v="2025-01-31T00:00:00"/>
    <d v="2025-01-31T00:00:00"/>
    <s v="SA"/>
    <s v="40"/>
    <x v="11"/>
    <x v="10"/>
    <m/>
    <m/>
    <m/>
    <s v="Debit"/>
    <s v="Depreciation"/>
    <x v="0"/>
    <n v="7818.19"/>
    <s v="CAD"/>
    <n v="1.54"/>
    <n v="12040.01"/>
    <s v="USD"/>
    <n v="2.85"/>
    <n v="34314.03"/>
    <m/>
    <m/>
    <m/>
  </r>
  <r>
    <s v="FINQ8S-300 - FINQ8S-300"/>
    <s v="0001"/>
    <s v="BU0001"/>
    <m/>
    <m/>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7"/>
    <x v="6"/>
    <m/>
    <m/>
    <m/>
    <s v="Credit"/>
    <s v="Accrual"/>
    <x v="1"/>
    <n v="-147.72"/>
    <s v="CAD"/>
    <n v="1.37"/>
    <n v="-202.38"/>
    <s v="USD"/>
    <n v="2.85"/>
    <n v="-576.78"/>
    <m/>
    <m/>
    <m/>
  </r>
  <r>
    <s v="FINQ8S-300 - FINQ8S-300"/>
    <s v="0001"/>
    <s v="BU0001"/>
    <m/>
    <s v="0000011093"/>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8"/>
    <x v="7"/>
    <m/>
    <m/>
    <m/>
    <s v="Debit"/>
    <s v="Accrual"/>
    <x v="1"/>
    <n v="147.72"/>
    <s v="CAD"/>
    <n v="1.37"/>
    <n v="202.38"/>
    <s v="USD"/>
    <n v="2.85"/>
    <n v="576.78"/>
    <m/>
    <m/>
    <m/>
  </r>
  <r>
    <s v="FINQ8S-300 - FINQ8S-300"/>
    <s v="0001"/>
    <s v="BU0001"/>
    <m/>
    <m/>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6"/>
    <x v="5"/>
    <m/>
    <m/>
    <m/>
    <s v="Cred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12"/>
    <x v="11"/>
    <m/>
    <m/>
    <m/>
    <s v="Deb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4"/>
    <x v="4"/>
    <m/>
    <m/>
    <m/>
    <s v="Credit"/>
    <s v="Accrual"/>
    <x v="1"/>
    <n v="-6422.5"/>
    <s v="CAD"/>
    <n v="1.37"/>
    <n v="-8798.83"/>
    <s v="USD"/>
    <n v="2.85"/>
    <n v="-25076.67"/>
    <m/>
    <m/>
    <m/>
  </r>
  <r>
    <s v="FINQ8S-300 - FINQ8S-300"/>
    <s v="0001"/>
    <s v="BU0001"/>
    <m/>
    <m/>
    <s v="0000000110"/>
    <m/>
    <m/>
    <m/>
    <m/>
    <m/>
    <s v="Local"/>
    <m/>
    <m/>
    <s v="Accrual"/>
    <s v="500"/>
    <s v="CT-100080838"/>
    <s v="33333"/>
    <s v="LC-100065287"/>
    <s v="AG-100055808"/>
    <m/>
    <s v="0000011093"/>
    <s v="Lessee"/>
    <s v="1000"/>
    <x v="1"/>
    <s v="Operating"/>
    <s v="IAC0001 - EQUIPMENT"/>
    <s v="UN-100135413"/>
    <s v="2025023673"/>
    <m/>
    <m/>
    <m/>
    <m/>
    <m/>
    <s v="Post"/>
    <s v="Posted"/>
    <s v="Open"/>
    <m/>
    <x v="0"/>
    <x v="0"/>
    <d v="2025-01-31T00:00:00"/>
    <d v="2025-01-31T00:00:00"/>
    <d v="2025-01-31T00:00:00"/>
    <s v="SA"/>
    <m/>
    <x v="0"/>
    <x v="0"/>
    <m/>
    <m/>
    <m/>
    <s v="Debit"/>
    <s v="Accrual"/>
    <x v="1"/>
    <n v="6422.5"/>
    <s v="CAD"/>
    <n v="1.37"/>
    <n v="8798.83"/>
    <s v="USD"/>
    <n v="2.85"/>
    <n v="25076.67"/>
    <m/>
    <m/>
    <m/>
  </r>
  <r>
    <s v="FINQ8S-300 - FINQ8S-300"/>
    <s v="0001"/>
    <s v="BU0001"/>
    <m/>
    <m/>
    <s v="0000000110"/>
    <m/>
    <m/>
    <m/>
    <m/>
    <m/>
    <s v="Local"/>
    <m/>
    <m/>
    <s v="Depreciation"/>
    <s v="220"/>
    <s v="CT-100080838"/>
    <s v="33333"/>
    <s v="LC-100065287"/>
    <s v="AG-100055808"/>
    <m/>
    <s v="0000011093"/>
    <s v="Lessee"/>
    <s v="1000"/>
    <x v="1"/>
    <s v="Operating"/>
    <s v="IAC0001 - EQUIPMENT"/>
    <s v="UN-100135413"/>
    <s v="2025023674"/>
    <m/>
    <m/>
    <m/>
    <m/>
    <m/>
    <s v="Post"/>
    <s v="Posted"/>
    <s v="Open"/>
    <m/>
    <x v="0"/>
    <x v="0"/>
    <d v="2025-01-31T00:00:00"/>
    <d v="2025-01-31T00:00:00"/>
    <d v="2025-01-31T00:00:00"/>
    <s v="SA"/>
    <s v="40"/>
    <x v="10"/>
    <x v="9"/>
    <m/>
    <m/>
    <m/>
    <s v="Credit"/>
    <s v="Depreciation"/>
    <x v="1"/>
    <n v="-6352.28"/>
    <s v="CAD"/>
    <n v="1.37"/>
    <n v="-8702.6200000000008"/>
    <s v="USD"/>
    <n v="2.85"/>
    <n v="-24802.47"/>
    <m/>
    <m/>
    <m/>
  </r>
  <r>
    <s v="FINQ8S-300 - FINQ8S-300"/>
    <s v="0001"/>
    <s v="BU0001"/>
    <m/>
    <s v="0000011093"/>
    <s v="0000000110"/>
    <m/>
    <m/>
    <m/>
    <m/>
    <m/>
    <s v="Local"/>
    <m/>
    <m/>
    <s v="Depreciation"/>
    <s v="220"/>
    <s v="CT-100080838"/>
    <s v="33333"/>
    <s v="LC-100065287"/>
    <s v="AG-100055808"/>
    <m/>
    <s v="0000011093"/>
    <s v="Lessee"/>
    <s v="1000"/>
    <x v="1"/>
    <s v="Operating"/>
    <s v="IAC0001 - EQUIPMENT"/>
    <s v="UN-100135413"/>
    <s v="2025023674"/>
    <m/>
    <m/>
    <m/>
    <m/>
    <m/>
    <s v="Post"/>
    <s v="Posted"/>
    <s v="Open"/>
    <m/>
    <x v="0"/>
    <x v="0"/>
    <d v="2025-01-31T00:00:00"/>
    <d v="2025-01-31T00:00:00"/>
    <d v="2025-01-31T00:00:00"/>
    <s v="SA"/>
    <s v="40"/>
    <x v="11"/>
    <x v="10"/>
    <m/>
    <m/>
    <m/>
    <s v="Debit"/>
    <s v="Depreciation"/>
    <x v="1"/>
    <n v="6352.28"/>
    <s v="CAD"/>
    <n v="1.37"/>
    <n v="8702.6200000000008"/>
    <s v="USD"/>
    <n v="2.85"/>
    <n v="24802.47"/>
    <m/>
    <m/>
    <m/>
  </r>
  <r>
    <s v="FINQ8S-300 - FINQ8S-300"/>
    <s v="0001"/>
    <s v="BU0001"/>
    <m/>
    <m/>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7"/>
    <x v="6"/>
    <m/>
    <m/>
    <m/>
    <s v="Credit"/>
    <s v="Accrual"/>
    <x v="1"/>
    <n v="-147.72"/>
    <s v="CAD"/>
    <n v="1.37"/>
    <n v="-202.38"/>
    <s v="USD"/>
    <n v="2.85"/>
    <n v="-576.78"/>
    <m/>
    <m/>
    <m/>
  </r>
  <r>
    <s v="FINQ8S-300 - FINQ8S-300"/>
    <s v="0001"/>
    <s v="BU0001"/>
    <m/>
    <s v="0000011093"/>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8"/>
    <x v="7"/>
    <m/>
    <m/>
    <m/>
    <s v="Debit"/>
    <s v="Accrual"/>
    <x v="1"/>
    <n v="147.72"/>
    <s v="CAD"/>
    <n v="1.37"/>
    <n v="202.38"/>
    <s v="USD"/>
    <n v="2.85"/>
    <n v="576.78"/>
    <m/>
    <m/>
    <m/>
  </r>
  <r>
    <s v="FINQ8S-300 - FINQ8S-300"/>
    <s v="0001"/>
    <s v="BU0001"/>
    <m/>
    <m/>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6"/>
    <x v="5"/>
    <m/>
    <m/>
    <m/>
    <s v="Cred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12"/>
    <x v="11"/>
    <m/>
    <m/>
    <m/>
    <s v="Deb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4"/>
    <x v="4"/>
    <m/>
    <m/>
    <m/>
    <s v="Credit"/>
    <s v="Accrual"/>
    <x v="1"/>
    <n v="-6422.5"/>
    <s v="CAD"/>
    <n v="1.37"/>
    <n v="-8798.83"/>
    <s v="USD"/>
    <n v="2.85"/>
    <n v="-25076.67"/>
    <m/>
    <m/>
    <m/>
  </r>
  <r>
    <s v="FINQ8S-300 - FINQ8S-300"/>
    <s v="0001"/>
    <s v="BU0001"/>
    <m/>
    <m/>
    <s v="0000000110"/>
    <m/>
    <m/>
    <m/>
    <m/>
    <m/>
    <s v="Local"/>
    <m/>
    <m/>
    <s v="Accrual"/>
    <s v="500"/>
    <s v="CT-100080838"/>
    <s v="33333"/>
    <s v="LC-100065287"/>
    <s v="AG-100055808"/>
    <m/>
    <s v="0000011093"/>
    <s v="Lessee"/>
    <s v="1000"/>
    <x v="0"/>
    <s v="Finance"/>
    <s v="IAC0001 - EQUIPMENT"/>
    <s v="UN-100135413"/>
    <s v="2025023675"/>
    <m/>
    <m/>
    <m/>
    <m/>
    <m/>
    <s v="Post"/>
    <s v="Posted"/>
    <s v="Open"/>
    <m/>
    <x v="0"/>
    <x v="0"/>
    <d v="2025-01-31T00:00:00"/>
    <d v="2025-01-31T00:00:00"/>
    <d v="2025-01-31T00:00:00"/>
    <s v="SA"/>
    <m/>
    <x v="0"/>
    <x v="0"/>
    <m/>
    <m/>
    <m/>
    <s v="Debit"/>
    <s v="Accrual"/>
    <x v="1"/>
    <n v="6422.5"/>
    <s v="CAD"/>
    <n v="1.37"/>
    <n v="8798.83"/>
    <s v="USD"/>
    <n v="2.85"/>
    <n v="25076.67"/>
    <m/>
    <m/>
    <m/>
  </r>
  <r>
    <s v="FINQ8S-300 - FINQ8S-300"/>
    <s v="0001"/>
    <s v="BU0001"/>
    <m/>
    <m/>
    <s v="0000000110"/>
    <m/>
    <m/>
    <m/>
    <m/>
    <m/>
    <s v="Local"/>
    <m/>
    <m/>
    <s v="Depreciation"/>
    <s v="220"/>
    <s v="CT-100080838"/>
    <s v="33333"/>
    <s v="LC-100065287"/>
    <s v="AG-100055808"/>
    <m/>
    <s v="0000011093"/>
    <s v="Lessee"/>
    <s v="1000"/>
    <x v="0"/>
    <s v="Finance"/>
    <s v="IAC0001 - EQUIPMENT"/>
    <s v="UN-100135413"/>
    <s v="2025023676"/>
    <m/>
    <m/>
    <m/>
    <m/>
    <m/>
    <s v="Post"/>
    <s v="Posted"/>
    <s v="Open"/>
    <m/>
    <x v="0"/>
    <x v="0"/>
    <d v="2025-01-31T00:00:00"/>
    <d v="2025-01-31T00:00:00"/>
    <d v="2025-01-31T00:00:00"/>
    <s v="SA"/>
    <s v="01"/>
    <x v="10"/>
    <x v="9"/>
    <m/>
    <m/>
    <m/>
    <s v="Credit"/>
    <s v="Depreciation"/>
    <x v="1"/>
    <n v="-6406.72"/>
    <s v="CAD"/>
    <n v="1.37"/>
    <n v="-8777.2000000000007"/>
    <s v="USD"/>
    <n v="2.85"/>
    <n v="-25015.02"/>
    <m/>
    <m/>
    <m/>
  </r>
  <r>
    <s v="FINQ8S-300 - FINQ8S-300"/>
    <s v="0001"/>
    <s v="BU0001"/>
    <m/>
    <s v="0000011093"/>
    <s v="0000000110"/>
    <m/>
    <m/>
    <m/>
    <m/>
    <m/>
    <s v="Local"/>
    <m/>
    <m/>
    <s v="Depreciation"/>
    <s v="220"/>
    <s v="CT-100080838"/>
    <s v="33333"/>
    <s v="LC-100065287"/>
    <s v="AG-100055808"/>
    <m/>
    <s v="0000011093"/>
    <s v="Lessee"/>
    <s v="1000"/>
    <x v="0"/>
    <s v="Finance"/>
    <s v="IAC0001 - EQUIPMENT"/>
    <s v="UN-100135413"/>
    <s v="2025023676"/>
    <m/>
    <m/>
    <m/>
    <m/>
    <m/>
    <s v="Post"/>
    <s v="Posted"/>
    <s v="Open"/>
    <m/>
    <x v="0"/>
    <x v="0"/>
    <d v="2025-01-31T00:00:00"/>
    <d v="2025-01-31T00:00:00"/>
    <d v="2025-01-31T00:00:00"/>
    <s v="SA"/>
    <s v="01"/>
    <x v="11"/>
    <x v="10"/>
    <m/>
    <m/>
    <m/>
    <s v="Debit"/>
    <s v="Depreciation"/>
    <x v="1"/>
    <n v="6406.72"/>
    <s v="CAD"/>
    <n v="1.37"/>
    <n v="8777.2000000000007"/>
    <s v="USD"/>
    <n v="2.85"/>
    <n v="25015.02"/>
    <m/>
    <m/>
    <m/>
  </r>
  <r>
    <s v="FINQ8S-300 - FINQ8S-300"/>
    <s v="0001"/>
    <s v="BU0001"/>
    <m/>
    <m/>
    <s v="0000000120"/>
    <m/>
    <m/>
    <m/>
    <m/>
    <m/>
    <s v="Local"/>
    <m/>
    <m/>
    <s v="Payment"/>
    <s v="Z02"/>
    <s v="CT-100080835"/>
    <s v="22222"/>
    <s v="LC-100065284"/>
    <s v="AG-100055306"/>
    <m/>
    <s v="0000012999"/>
    <s v="Lessee"/>
    <s v="1000"/>
    <x v="0"/>
    <s v="Finance"/>
    <s v="IAC0001 - EQUIPMENT"/>
    <s v="UN-100135411"/>
    <s v="2025023605"/>
    <m/>
    <m/>
    <m/>
    <m/>
    <m/>
    <s v="Post"/>
    <s v="Posted"/>
    <s v="Open"/>
    <m/>
    <x v="0"/>
    <x v="1"/>
    <d v="2025-02-01T00:00:00"/>
    <d v="2025-02-01T00:00:00"/>
    <d v="2025-02-01T00:00:00"/>
    <s v="A1"/>
    <m/>
    <x v="3"/>
    <x v="3"/>
    <m/>
    <m/>
    <m/>
    <s v="Credit"/>
    <s v="Payment"/>
    <x v="0"/>
    <n v="-8000"/>
    <s v="CAD"/>
    <n v="1.54"/>
    <n v="-12320"/>
    <s v="USD"/>
    <n v="2.85"/>
    <n v="-35112"/>
    <m/>
    <m/>
    <m/>
  </r>
  <r>
    <s v="FINQ8S-300 - FINQ8S-300"/>
    <s v="0001"/>
    <s v="BU0001"/>
    <m/>
    <m/>
    <s v="0000000120"/>
    <m/>
    <m/>
    <m/>
    <m/>
    <m/>
    <s v="Local"/>
    <m/>
    <m/>
    <s v="Payment"/>
    <s v="Z02"/>
    <s v="CT-100080835"/>
    <s v="22222"/>
    <s v="LC-100065284"/>
    <s v="AG-100055306"/>
    <m/>
    <s v="0000012999"/>
    <s v="Lessee"/>
    <s v="1000"/>
    <x v="0"/>
    <s v="Finance"/>
    <s v="IAC0001 - EQUIPMENT"/>
    <s v="UN-100135411"/>
    <s v="2025023605"/>
    <m/>
    <m/>
    <m/>
    <m/>
    <m/>
    <s v="Post"/>
    <s v="Posted"/>
    <s v="Open"/>
    <m/>
    <x v="0"/>
    <x v="1"/>
    <d v="2025-02-01T00:00:00"/>
    <d v="2025-02-01T00:00:00"/>
    <d v="2025-02-01T00:00:00"/>
    <s v="A1"/>
    <m/>
    <x v="3"/>
    <x v="3"/>
    <m/>
    <m/>
    <m/>
    <s v="Credit"/>
    <s v="Payment"/>
    <x v="0"/>
    <n v="-900"/>
    <s v="CAD"/>
    <n v="1.54"/>
    <n v="-1386"/>
    <s v="USD"/>
    <n v="2.85"/>
    <n v="-3950.1"/>
    <m/>
    <m/>
    <m/>
  </r>
  <r>
    <s v="FINQ8S-300 - FINQ8S-300"/>
    <s v="0001"/>
    <s v="BU0001"/>
    <m/>
    <m/>
    <s v="0000000120"/>
    <m/>
    <m/>
    <m/>
    <m/>
    <m/>
    <s v="Local"/>
    <m/>
    <m/>
    <s v="Payment"/>
    <s v="Z02"/>
    <s v="CT-100080835"/>
    <s v="22222"/>
    <s v="LC-100065284"/>
    <s v="AG-100055306"/>
    <m/>
    <s v="0000012999"/>
    <s v="Lessee"/>
    <s v="1000"/>
    <x v="0"/>
    <s v="Finance"/>
    <s v="IAC0001 - EQUIPMENT"/>
    <s v="UN-100135411"/>
    <s v="2025023605"/>
    <m/>
    <m/>
    <m/>
    <m/>
    <m/>
    <s v="Post"/>
    <s v="Posted"/>
    <s v="Open"/>
    <m/>
    <x v="0"/>
    <x v="1"/>
    <d v="2025-02-01T00:00:00"/>
    <d v="2025-02-01T00:00:00"/>
    <d v="2025-02-01T00:00:00"/>
    <s v="A1"/>
    <m/>
    <x v="7"/>
    <x v="6"/>
    <m/>
    <m/>
    <m/>
    <s v="Debit"/>
    <s v="Payment"/>
    <x v="0"/>
    <n v="181.81"/>
    <s v="CAD"/>
    <n v="1.54"/>
    <n v="279.99"/>
    <s v="USD"/>
    <n v="2.85"/>
    <n v="797.97"/>
    <m/>
    <m/>
    <m/>
  </r>
  <r>
    <s v="FINQ8S-300 - FINQ8S-300"/>
    <s v="0001"/>
    <s v="BU0001"/>
    <m/>
    <s v="0000012999"/>
    <s v="0000000120"/>
    <m/>
    <m/>
    <m/>
    <m/>
    <m/>
    <s v="Local"/>
    <m/>
    <m/>
    <s v="Payment"/>
    <s v="Z02"/>
    <s v="CT-100080835"/>
    <s v="22222"/>
    <s v="LC-100065284"/>
    <s v="AG-100055306"/>
    <m/>
    <s v="0000012999"/>
    <s v="Lessee"/>
    <s v="1000"/>
    <x v="0"/>
    <s v="Finance"/>
    <s v="IAC0001 - EQUIPMENT"/>
    <s v="UN-100135411"/>
    <s v="2025023605"/>
    <m/>
    <m/>
    <m/>
    <m/>
    <m/>
    <s v="Post"/>
    <s v="Posted"/>
    <s v="Open"/>
    <m/>
    <x v="0"/>
    <x v="1"/>
    <d v="2025-02-01T00:00:00"/>
    <d v="2025-02-01T00:00:00"/>
    <d v="2025-02-01T00:00:00"/>
    <s v="A1"/>
    <m/>
    <x v="4"/>
    <x v="4"/>
    <m/>
    <m/>
    <m/>
    <s v="Debit"/>
    <s v="Payment"/>
    <x v="0"/>
    <n v="7818.19"/>
    <s v="CAD"/>
    <n v="1.54"/>
    <n v="12040.01"/>
    <s v="USD"/>
    <n v="2.85"/>
    <n v="34314.03"/>
    <m/>
    <m/>
    <m/>
  </r>
  <r>
    <s v="FINQ8S-300 - FINQ8S-300"/>
    <s v="0001"/>
    <s v="BU0001"/>
    <m/>
    <m/>
    <s v="0000000120"/>
    <m/>
    <m/>
    <m/>
    <m/>
    <m/>
    <s v="Local"/>
    <m/>
    <m/>
    <s v="Payment"/>
    <s v="Z02"/>
    <s v="CT-100080835"/>
    <s v="22222"/>
    <s v="LC-100065284"/>
    <s v="AG-100055306"/>
    <m/>
    <s v="0000012999"/>
    <s v="Lessee"/>
    <s v="1000"/>
    <x v="0"/>
    <s v="Finance"/>
    <s v="IAC0001 - EQUIPMENT"/>
    <s v="UN-100135411"/>
    <s v="2025023605"/>
    <m/>
    <m/>
    <m/>
    <m/>
    <m/>
    <s v="Post"/>
    <s v="Posted"/>
    <s v="Open"/>
    <m/>
    <x v="0"/>
    <x v="1"/>
    <d v="2025-02-01T00:00:00"/>
    <d v="2025-02-01T00:00:00"/>
    <d v="2025-02-01T00:00:00"/>
    <s v="A1"/>
    <m/>
    <x v="5"/>
    <x v="5"/>
    <m/>
    <m/>
    <m/>
    <s v="Debit"/>
    <s v="Payment"/>
    <x v="0"/>
    <n v="900"/>
    <s v="CAD"/>
    <n v="1.54"/>
    <n v="1386"/>
    <s v="USD"/>
    <n v="2.85"/>
    <n v="3950.1"/>
    <m/>
    <m/>
    <m/>
  </r>
  <r>
    <s v="FINQ8S-300 - FINQ8S-300"/>
    <s v="0001"/>
    <s v="BU0001"/>
    <m/>
    <m/>
    <s v="0000000120"/>
    <m/>
    <m/>
    <m/>
    <m/>
    <m/>
    <s v="Local"/>
    <m/>
    <m/>
    <s v="Payment"/>
    <s v="Z02"/>
    <s v="CT-100080835"/>
    <s v="22222"/>
    <s v="LC-100065284"/>
    <s v="AG-100055306"/>
    <m/>
    <s v="0000012999"/>
    <s v="Lessee"/>
    <s v="1000"/>
    <x v="1"/>
    <s v="Operating"/>
    <s v="IAC0001 - EQUIPMENT"/>
    <s v="UN-100135411"/>
    <s v="2025023606"/>
    <m/>
    <m/>
    <m/>
    <m/>
    <m/>
    <s v="Post"/>
    <s v="Posted"/>
    <s v="Open"/>
    <m/>
    <x v="0"/>
    <x v="1"/>
    <d v="2025-02-01T00:00:00"/>
    <d v="2025-02-01T00:00:00"/>
    <d v="2025-02-01T00:00:00"/>
    <s v="A1"/>
    <m/>
    <x v="3"/>
    <x v="3"/>
    <m/>
    <m/>
    <m/>
    <s v="Credit"/>
    <s v="Payment"/>
    <x v="0"/>
    <n v="-8000"/>
    <s v="CAD"/>
    <n v="1.54"/>
    <n v="-12320"/>
    <s v="USD"/>
    <n v="2.85"/>
    <n v="-35112"/>
    <m/>
    <m/>
    <m/>
  </r>
  <r>
    <s v="FINQ8S-300 - FINQ8S-300"/>
    <s v="0001"/>
    <s v="BU0001"/>
    <m/>
    <m/>
    <s v="0000000120"/>
    <m/>
    <m/>
    <m/>
    <m/>
    <m/>
    <s v="Local"/>
    <m/>
    <m/>
    <s v="Payment"/>
    <s v="Z02"/>
    <s v="CT-100080835"/>
    <s v="22222"/>
    <s v="LC-100065284"/>
    <s v="AG-100055306"/>
    <m/>
    <s v="0000012999"/>
    <s v="Lessee"/>
    <s v="1000"/>
    <x v="1"/>
    <s v="Operating"/>
    <s v="IAC0001 - EQUIPMENT"/>
    <s v="UN-100135411"/>
    <s v="2025023606"/>
    <m/>
    <m/>
    <m/>
    <m/>
    <m/>
    <s v="Post"/>
    <s v="Posted"/>
    <s v="Open"/>
    <m/>
    <x v="0"/>
    <x v="1"/>
    <d v="2025-02-01T00:00:00"/>
    <d v="2025-02-01T00:00:00"/>
    <d v="2025-02-01T00:00:00"/>
    <s v="A1"/>
    <m/>
    <x v="3"/>
    <x v="3"/>
    <m/>
    <m/>
    <m/>
    <s v="Credit"/>
    <s v="Payment"/>
    <x v="0"/>
    <n v="-900"/>
    <s v="CAD"/>
    <n v="1.54"/>
    <n v="-1386"/>
    <s v="USD"/>
    <n v="2.85"/>
    <n v="-3950.1"/>
    <m/>
    <m/>
    <m/>
  </r>
  <r>
    <s v="FINQ8S-300 - FINQ8S-300"/>
    <s v="0001"/>
    <s v="BU0001"/>
    <m/>
    <m/>
    <s v="0000000120"/>
    <m/>
    <m/>
    <m/>
    <m/>
    <m/>
    <s v="Local"/>
    <m/>
    <m/>
    <s v="Payment"/>
    <s v="Z02"/>
    <s v="CT-100080835"/>
    <s v="22222"/>
    <s v="LC-100065284"/>
    <s v="AG-100055306"/>
    <m/>
    <s v="0000012999"/>
    <s v="Lessee"/>
    <s v="1000"/>
    <x v="1"/>
    <s v="Operating"/>
    <s v="IAC0001 - EQUIPMENT"/>
    <s v="UN-100135411"/>
    <s v="2025023606"/>
    <m/>
    <m/>
    <m/>
    <m/>
    <m/>
    <s v="Post"/>
    <s v="Posted"/>
    <s v="Open"/>
    <m/>
    <x v="0"/>
    <x v="1"/>
    <d v="2025-02-01T00:00:00"/>
    <d v="2025-02-01T00:00:00"/>
    <d v="2025-02-01T00:00:00"/>
    <s v="A1"/>
    <m/>
    <x v="7"/>
    <x v="6"/>
    <m/>
    <m/>
    <m/>
    <s v="Debit"/>
    <s v="Payment"/>
    <x v="0"/>
    <n v="181.81"/>
    <s v="CAD"/>
    <n v="1.54"/>
    <n v="279.99"/>
    <s v="USD"/>
    <n v="2.85"/>
    <n v="797.97"/>
    <m/>
    <m/>
    <m/>
  </r>
  <r>
    <s v="FINQ8S-300 - FINQ8S-300"/>
    <s v="0001"/>
    <s v="BU0001"/>
    <m/>
    <s v="0000012999"/>
    <s v="0000000120"/>
    <m/>
    <m/>
    <m/>
    <m/>
    <m/>
    <s v="Local"/>
    <m/>
    <m/>
    <s v="Payment"/>
    <s v="Z02"/>
    <s v="CT-100080835"/>
    <s v="22222"/>
    <s v="LC-100065284"/>
    <s v="AG-100055306"/>
    <m/>
    <s v="0000012999"/>
    <s v="Lessee"/>
    <s v="1000"/>
    <x v="1"/>
    <s v="Operating"/>
    <s v="IAC0001 - EQUIPMENT"/>
    <s v="UN-100135411"/>
    <s v="2025023606"/>
    <m/>
    <m/>
    <m/>
    <m/>
    <m/>
    <s v="Post"/>
    <s v="Posted"/>
    <s v="Open"/>
    <m/>
    <x v="0"/>
    <x v="1"/>
    <d v="2025-02-01T00:00:00"/>
    <d v="2025-02-01T00:00:00"/>
    <d v="2025-02-01T00:00:00"/>
    <s v="A1"/>
    <m/>
    <x v="4"/>
    <x v="4"/>
    <m/>
    <m/>
    <m/>
    <s v="Debit"/>
    <s v="Payment"/>
    <x v="0"/>
    <n v="7818.19"/>
    <s v="CAD"/>
    <n v="1.54"/>
    <n v="12040.01"/>
    <s v="USD"/>
    <n v="2.85"/>
    <n v="34314.03"/>
    <m/>
    <m/>
    <m/>
  </r>
  <r>
    <s v="FINQ8S-300 - FINQ8S-300"/>
    <s v="0001"/>
    <s v="BU0001"/>
    <m/>
    <m/>
    <s v="0000000120"/>
    <m/>
    <m/>
    <m/>
    <m/>
    <m/>
    <s v="Local"/>
    <m/>
    <m/>
    <s v="Payment"/>
    <s v="Z02"/>
    <s v="CT-100080835"/>
    <s v="22222"/>
    <s v="LC-100065284"/>
    <s v="AG-100055306"/>
    <m/>
    <s v="0000012999"/>
    <s v="Lessee"/>
    <s v="1000"/>
    <x v="1"/>
    <s v="Operating"/>
    <s v="IAC0001 - EQUIPMENT"/>
    <s v="UN-100135411"/>
    <s v="2025023606"/>
    <m/>
    <m/>
    <m/>
    <m/>
    <m/>
    <s v="Post"/>
    <s v="Posted"/>
    <s v="Open"/>
    <m/>
    <x v="0"/>
    <x v="1"/>
    <d v="2025-02-01T00:00:00"/>
    <d v="2025-02-01T00:00:00"/>
    <d v="2025-02-01T00:00:00"/>
    <s v="A1"/>
    <m/>
    <x v="6"/>
    <x v="5"/>
    <m/>
    <m/>
    <m/>
    <s v="Debit"/>
    <s v="Payment"/>
    <x v="0"/>
    <n v="900"/>
    <s v="CAD"/>
    <n v="1.54"/>
    <n v="1386"/>
    <s v="USD"/>
    <n v="2.85"/>
    <n v="3950.1"/>
    <m/>
    <m/>
    <m/>
  </r>
  <r>
    <s v="FINQ8S-300 - FINQ8S-300"/>
    <s v="0001"/>
    <s v="BU0001"/>
    <m/>
    <m/>
    <s v="0000000110"/>
    <m/>
    <m/>
    <m/>
    <m/>
    <m/>
    <s v="Local"/>
    <m/>
    <m/>
    <s v="Payment"/>
    <s v="Z02"/>
    <s v="CT-100080838"/>
    <s v="33333"/>
    <s v="LC-100065287"/>
    <s v="AG-100055808"/>
    <m/>
    <s v="0000011093"/>
    <s v="Lessee"/>
    <s v="1000"/>
    <x v="1"/>
    <s v="Operating"/>
    <s v="IAC0001 - EQUIPMENT"/>
    <s v="UN-100135413"/>
    <s v="2025023677"/>
    <m/>
    <m/>
    <m/>
    <m/>
    <m/>
    <s v="Post"/>
    <s v="Posted"/>
    <s v="Open"/>
    <m/>
    <x v="0"/>
    <x v="1"/>
    <d v="2025-02-01T00:00:00"/>
    <d v="2025-02-01T00:00:00"/>
    <d v="2025-02-01T00:00:00"/>
    <s v="A1"/>
    <m/>
    <x v="3"/>
    <x v="3"/>
    <m/>
    <m/>
    <m/>
    <s v="Credit"/>
    <s v="Payment"/>
    <x v="1"/>
    <n v="-6500"/>
    <s v="CAD"/>
    <n v="1.37"/>
    <n v="-8905"/>
    <s v="USD"/>
    <n v="2.85"/>
    <n v="-25379.25"/>
    <m/>
    <m/>
    <m/>
  </r>
  <r>
    <s v="FINQ8S-300 - FINQ8S-300"/>
    <s v="0001"/>
    <s v="BU0001"/>
    <m/>
    <m/>
    <s v="0000000110"/>
    <m/>
    <m/>
    <m/>
    <m/>
    <m/>
    <s v="Local"/>
    <m/>
    <m/>
    <s v="Payment"/>
    <s v="Z02"/>
    <s v="CT-100080838"/>
    <s v="33333"/>
    <s v="LC-100065287"/>
    <s v="AG-100055808"/>
    <m/>
    <s v="0000011093"/>
    <s v="Lessee"/>
    <s v="1000"/>
    <x v="1"/>
    <s v="Operating"/>
    <s v="IAC0001 - EQUIPMENT"/>
    <s v="UN-100135413"/>
    <s v="2025023677"/>
    <m/>
    <m/>
    <m/>
    <m/>
    <m/>
    <s v="Post"/>
    <s v="Posted"/>
    <s v="Open"/>
    <m/>
    <x v="0"/>
    <x v="1"/>
    <d v="2025-02-01T00:00:00"/>
    <d v="2025-02-01T00:00:00"/>
    <d v="2025-02-01T00:00:00"/>
    <s v="A1"/>
    <m/>
    <x v="3"/>
    <x v="3"/>
    <m/>
    <m/>
    <m/>
    <s v="Credit"/>
    <s v="Payment"/>
    <x v="1"/>
    <n v="-250"/>
    <s v="CAD"/>
    <n v="1.37"/>
    <n v="-342.5"/>
    <s v="USD"/>
    <n v="2.85"/>
    <n v="-976.13"/>
    <m/>
    <m/>
    <m/>
  </r>
  <r>
    <s v="FINQ8S-300 - FINQ8S-300"/>
    <s v="0001"/>
    <s v="BU0001"/>
    <m/>
    <m/>
    <s v="0000000110"/>
    <m/>
    <m/>
    <m/>
    <m/>
    <m/>
    <s v="Local"/>
    <m/>
    <m/>
    <s v="Payment"/>
    <s v="Z02"/>
    <s v="CT-100080838"/>
    <s v="33333"/>
    <s v="LC-100065287"/>
    <s v="AG-100055808"/>
    <m/>
    <s v="0000011093"/>
    <s v="Lessee"/>
    <s v="1000"/>
    <x v="1"/>
    <s v="Operating"/>
    <s v="IAC0001 - EQUIPMENT"/>
    <s v="UN-100135413"/>
    <s v="2025023677"/>
    <m/>
    <m/>
    <m/>
    <m/>
    <m/>
    <s v="Post"/>
    <s v="Posted"/>
    <s v="Open"/>
    <m/>
    <x v="0"/>
    <x v="1"/>
    <d v="2025-02-01T00:00:00"/>
    <d v="2025-02-01T00:00:00"/>
    <d v="2025-02-01T00:00:00"/>
    <s v="A1"/>
    <m/>
    <x v="7"/>
    <x v="6"/>
    <m/>
    <m/>
    <m/>
    <s v="Debit"/>
    <s v="Payment"/>
    <x v="1"/>
    <n v="147.72"/>
    <s v="CAD"/>
    <n v="1.37"/>
    <n v="202.38"/>
    <s v="USD"/>
    <n v="2.85"/>
    <n v="576.78"/>
    <m/>
    <m/>
    <m/>
  </r>
  <r>
    <s v="FINQ8S-300 - FINQ8S-300"/>
    <s v="0001"/>
    <s v="BU0001"/>
    <m/>
    <s v="0000011093"/>
    <s v="0000000110"/>
    <m/>
    <m/>
    <m/>
    <m/>
    <m/>
    <s v="Local"/>
    <m/>
    <m/>
    <s v="Payment"/>
    <s v="Z02"/>
    <s v="CT-100080838"/>
    <s v="33333"/>
    <s v="LC-100065287"/>
    <s v="AG-100055808"/>
    <m/>
    <s v="0000011093"/>
    <s v="Lessee"/>
    <s v="1000"/>
    <x v="1"/>
    <s v="Operating"/>
    <s v="IAC0001 - EQUIPMENT"/>
    <s v="UN-100135413"/>
    <s v="2025023677"/>
    <m/>
    <m/>
    <m/>
    <m/>
    <m/>
    <s v="Post"/>
    <s v="Posted"/>
    <s v="Open"/>
    <m/>
    <x v="0"/>
    <x v="1"/>
    <d v="2025-02-01T00:00:00"/>
    <d v="2025-02-01T00:00:00"/>
    <d v="2025-02-01T00:00:00"/>
    <s v="A1"/>
    <m/>
    <x v="4"/>
    <x v="4"/>
    <m/>
    <m/>
    <m/>
    <s v="Debit"/>
    <s v="Payment"/>
    <x v="1"/>
    <n v="6352.28"/>
    <s v="CAD"/>
    <n v="1.37"/>
    <n v="8702.6200000000008"/>
    <s v="USD"/>
    <n v="2.85"/>
    <n v="24802.47"/>
    <m/>
    <m/>
    <m/>
  </r>
  <r>
    <s v="FINQ8S-300 - FINQ8S-300"/>
    <s v="0001"/>
    <s v="BU0001"/>
    <m/>
    <m/>
    <s v="0000000110"/>
    <m/>
    <m/>
    <m/>
    <m/>
    <m/>
    <s v="Local"/>
    <m/>
    <m/>
    <s v="Payment"/>
    <s v="Z02"/>
    <s v="CT-100080838"/>
    <s v="33333"/>
    <s v="LC-100065287"/>
    <s v="AG-100055808"/>
    <m/>
    <s v="0000011093"/>
    <s v="Lessee"/>
    <s v="1000"/>
    <x v="1"/>
    <s v="Operating"/>
    <s v="IAC0001 - EQUIPMENT"/>
    <s v="UN-100135413"/>
    <s v="2025023677"/>
    <m/>
    <m/>
    <m/>
    <m/>
    <m/>
    <s v="Post"/>
    <s v="Posted"/>
    <s v="Open"/>
    <m/>
    <x v="0"/>
    <x v="1"/>
    <d v="2025-02-01T00:00:00"/>
    <d v="2025-02-01T00:00:00"/>
    <d v="2025-02-01T00:00:00"/>
    <s v="A1"/>
    <m/>
    <x v="6"/>
    <x v="5"/>
    <m/>
    <m/>
    <m/>
    <s v="Debit"/>
    <s v="Payment"/>
    <x v="1"/>
    <n v="250"/>
    <s v="CAD"/>
    <n v="1.37"/>
    <n v="342.5"/>
    <s v="USD"/>
    <n v="2.85"/>
    <n v="976.13"/>
    <m/>
    <m/>
    <m/>
  </r>
  <r>
    <s v="FINQ8S-300 - FINQ8S-300"/>
    <s v="0001"/>
    <s v="BU0001"/>
    <m/>
    <m/>
    <s v="0000000110"/>
    <m/>
    <m/>
    <m/>
    <m/>
    <m/>
    <s v="Local"/>
    <m/>
    <m/>
    <s v="Payment"/>
    <s v="Z02"/>
    <s v="CT-100080838"/>
    <s v="33333"/>
    <s v="LC-100065287"/>
    <s v="AG-100055808"/>
    <m/>
    <s v="0000011093"/>
    <s v="Lessee"/>
    <s v="1000"/>
    <x v="0"/>
    <s v="Finance"/>
    <s v="IAC0001 - EQUIPMENT"/>
    <s v="UN-100135413"/>
    <s v="2025023678"/>
    <m/>
    <m/>
    <m/>
    <m/>
    <m/>
    <s v="Post"/>
    <s v="Posted"/>
    <s v="Open"/>
    <m/>
    <x v="0"/>
    <x v="1"/>
    <d v="2025-02-01T00:00:00"/>
    <d v="2025-02-01T00:00:00"/>
    <d v="2025-02-01T00:00:00"/>
    <s v="A1"/>
    <m/>
    <x v="3"/>
    <x v="3"/>
    <m/>
    <m/>
    <m/>
    <s v="Credit"/>
    <s v="Payment"/>
    <x v="1"/>
    <n v="-6500"/>
    <s v="CAD"/>
    <n v="1.37"/>
    <n v="-8905"/>
    <s v="USD"/>
    <n v="2.85"/>
    <n v="-25379.25"/>
    <m/>
    <m/>
    <m/>
  </r>
  <r>
    <s v="FINQ8S-300 - FINQ8S-300"/>
    <s v="0001"/>
    <s v="BU0001"/>
    <m/>
    <m/>
    <s v="0000000110"/>
    <m/>
    <m/>
    <m/>
    <m/>
    <m/>
    <s v="Local"/>
    <m/>
    <m/>
    <s v="Payment"/>
    <s v="Z02"/>
    <s v="CT-100080838"/>
    <s v="33333"/>
    <s v="LC-100065287"/>
    <s v="AG-100055808"/>
    <m/>
    <s v="0000011093"/>
    <s v="Lessee"/>
    <s v="1000"/>
    <x v="0"/>
    <s v="Finance"/>
    <s v="IAC0001 - EQUIPMENT"/>
    <s v="UN-100135413"/>
    <s v="2025023678"/>
    <m/>
    <m/>
    <m/>
    <m/>
    <m/>
    <s v="Post"/>
    <s v="Posted"/>
    <s v="Open"/>
    <m/>
    <x v="0"/>
    <x v="1"/>
    <d v="2025-02-01T00:00:00"/>
    <d v="2025-02-01T00:00:00"/>
    <d v="2025-02-01T00:00:00"/>
    <s v="A1"/>
    <m/>
    <x v="3"/>
    <x v="3"/>
    <m/>
    <m/>
    <m/>
    <s v="Credit"/>
    <s v="Payment"/>
    <x v="1"/>
    <n v="-250"/>
    <s v="CAD"/>
    <n v="1.37"/>
    <n v="-342.5"/>
    <s v="USD"/>
    <n v="2.85"/>
    <n v="-976.13"/>
    <m/>
    <m/>
    <m/>
  </r>
  <r>
    <s v="FINQ8S-300 - FINQ8S-300"/>
    <s v="0001"/>
    <s v="BU0001"/>
    <m/>
    <m/>
    <s v="0000000110"/>
    <m/>
    <m/>
    <m/>
    <m/>
    <m/>
    <s v="Local"/>
    <m/>
    <m/>
    <s v="Payment"/>
    <s v="Z02"/>
    <s v="CT-100080838"/>
    <s v="33333"/>
    <s v="LC-100065287"/>
    <s v="AG-100055808"/>
    <m/>
    <s v="0000011093"/>
    <s v="Lessee"/>
    <s v="1000"/>
    <x v="0"/>
    <s v="Finance"/>
    <s v="IAC0001 - EQUIPMENT"/>
    <s v="UN-100135413"/>
    <s v="2025023678"/>
    <m/>
    <m/>
    <m/>
    <m/>
    <m/>
    <s v="Post"/>
    <s v="Posted"/>
    <s v="Open"/>
    <m/>
    <x v="0"/>
    <x v="1"/>
    <d v="2025-02-01T00:00:00"/>
    <d v="2025-02-01T00:00:00"/>
    <d v="2025-02-01T00:00:00"/>
    <s v="A1"/>
    <m/>
    <x v="7"/>
    <x v="6"/>
    <m/>
    <m/>
    <m/>
    <s v="Debit"/>
    <s v="Payment"/>
    <x v="1"/>
    <n v="147.72"/>
    <s v="CAD"/>
    <n v="1.37"/>
    <n v="202.38"/>
    <s v="USD"/>
    <n v="2.85"/>
    <n v="576.78"/>
    <m/>
    <m/>
    <m/>
  </r>
  <r>
    <s v="FINQ8S-300 - FINQ8S-300"/>
    <s v="0001"/>
    <s v="BU0001"/>
    <m/>
    <s v="0000011093"/>
    <s v="0000000110"/>
    <m/>
    <m/>
    <m/>
    <m/>
    <m/>
    <s v="Local"/>
    <m/>
    <m/>
    <s v="Payment"/>
    <s v="Z02"/>
    <s v="CT-100080838"/>
    <s v="33333"/>
    <s v="LC-100065287"/>
    <s v="AG-100055808"/>
    <m/>
    <s v="0000011093"/>
    <s v="Lessee"/>
    <s v="1000"/>
    <x v="0"/>
    <s v="Finance"/>
    <s v="IAC0001 - EQUIPMENT"/>
    <s v="UN-100135413"/>
    <s v="2025023678"/>
    <m/>
    <m/>
    <m/>
    <m/>
    <m/>
    <s v="Post"/>
    <s v="Posted"/>
    <s v="Open"/>
    <m/>
    <x v="0"/>
    <x v="1"/>
    <d v="2025-02-01T00:00:00"/>
    <d v="2025-02-01T00:00:00"/>
    <d v="2025-02-01T00:00:00"/>
    <s v="A1"/>
    <m/>
    <x v="4"/>
    <x v="4"/>
    <m/>
    <m/>
    <m/>
    <s v="Debit"/>
    <s v="Payment"/>
    <x v="1"/>
    <n v="6352.28"/>
    <s v="CAD"/>
    <n v="1.37"/>
    <n v="8702.6200000000008"/>
    <s v="USD"/>
    <n v="2.85"/>
    <n v="24802.47"/>
    <m/>
    <m/>
    <m/>
  </r>
  <r>
    <s v="FINQ8S-300 - FINQ8S-300"/>
    <s v="0001"/>
    <s v="BU0001"/>
    <m/>
    <m/>
    <s v="0000000110"/>
    <m/>
    <m/>
    <m/>
    <m/>
    <m/>
    <s v="Local"/>
    <m/>
    <m/>
    <s v="Payment"/>
    <s v="Z02"/>
    <s v="CT-100080838"/>
    <s v="33333"/>
    <s v="LC-100065287"/>
    <s v="AG-100055808"/>
    <m/>
    <s v="0000011093"/>
    <s v="Lessee"/>
    <s v="1000"/>
    <x v="0"/>
    <s v="Finance"/>
    <s v="IAC0001 - EQUIPMENT"/>
    <s v="UN-100135413"/>
    <s v="2025023678"/>
    <m/>
    <m/>
    <m/>
    <m/>
    <m/>
    <s v="Post"/>
    <s v="Posted"/>
    <s v="Open"/>
    <m/>
    <x v="0"/>
    <x v="1"/>
    <d v="2025-02-01T00:00:00"/>
    <d v="2025-02-01T00:00:00"/>
    <d v="2025-02-01T00:00:00"/>
    <s v="A1"/>
    <m/>
    <x v="6"/>
    <x v="5"/>
    <m/>
    <m/>
    <m/>
    <s v="Debit"/>
    <s v="Payment"/>
    <x v="1"/>
    <n v="250"/>
    <s v="CAD"/>
    <n v="1.37"/>
    <n v="342.5"/>
    <s v="USD"/>
    <n v="2.85"/>
    <n v="976.13"/>
    <m/>
    <m/>
    <m/>
  </r>
  <r>
    <s v="FINQ8S-300 - FINQ8S-300"/>
    <s v="0001"/>
    <s v="BU0001"/>
    <m/>
    <m/>
    <s v="0000000120"/>
    <m/>
    <m/>
    <m/>
    <m/>
    <m/>
    <s v="Local"/>
    <m/>
    <m/>
    <s v="Accrual"/>
    <s v="500"/>
    <s v="CT-100080835"/>
    <s v="22222"/>
    <s v="LC-100065284"/>
    <s v="AG-100055306"/>
    <m/>
    <s v="0000012999"/>
    <s v="Lessee"/>
    <s v="1000"/>
    <x v="0"/>
    <s v="Finance"/>
    <s v="IAC0001 - EQUIPMENT"/>
    <s v="UN-100135411"/>
    <s v="2025023607"/>
    <m/>
    <m/>
    <m/>
    <m/>
    <m/>
    <s v="Post"/>
    <s v="Posted"/>
    <s v="Open"/>
    <m/>
    <x v="0"/>
    <x v="1"/>
    <d v="2025-02-28T00:00:00"/>
    <d v="2025-02-28T00:00:00"/>
    <d v="2025-02-28T00:00:00"/>
    <s v="SA"/>
    <m/>
    <x v="7"/>
    <x v="6"/>
    <m/>
    <m/>
    <m/>
    <s v="Credit"/>
    <s v="Accrual"/>
    <x v="0"/>
    <n v="-173.99"/>
    <s v="CAD"/>
    <n v="1.54"/>
    <n v="-267.95"/>
    <s v="USD"/>
    <n v="2.85"/>
    <n v="-763.65"/>
    <m/>
    <m/>
    <m/>
  </r>
  <r>
    <s v="FINQ8S-300 - FINQ8S-300"/>
    <s v="0001"/>
    <s v="BU0001"/>
    <m/>
    <s v="0000012999"/>
    <s v="0000000120"/>
    <m/>
    <m/>
    <m/>
    <m/>
    <m/>
    <s v="Local"/>
    <m/>
    <m/>
    <s v="Accrual"/>
    <s v="500"/>
    <s v="CT-100080835"/>
    <s v="22222"/>
    <s v="LC-100065284"/>
    <s v="AG-100055306"/>
    <m/>
    <s v="0000012999"/>
    <s v="Lessee"/>
    <s v="1000"/>
    <x v="0"/>
    <s v="Finance"/>
    <s v="IAC0001 - EQUIPMENT"/>
    <s v="UN-100135411"/>
    <s v="2025023607"/>
    <m/>
    <m/>
    <m/>
    <m/>
    <m/>
    <s v="Post"/>
    <s v="Posted"/>
    <s v="Open"/>
    <m/>
    <x v="0"/>
    <x v="1"/>
    <d v="2025-02-28T00:00:00"/>
    <d v="2025-02-28T00:00:00"/>
    <d v="2025-02-28T00:00:00"/>
    <s v="SA"/>
    <m/>
    <x v="8"/>
    <x v="7"/>
    <m/>
    <m/>
    <m/>
    <s v="Debit"/>
    <s v="Accrual"/>
    <x v="0"/>
    <n v="173.99"/>
    <s v="CAD"/>
    <n v="1.54"/>
    <n v="267.95"/>
    <s v="USD"/>
    <n v="2.85"/>
    <n v="763.65"/>
    <m/>
    <m/>
    <m/>
  </r>
  <r>
    <s v="FINQ8S-300 - FINQ8S-300"/>
    <s v="0001"/>
    <s v="BU0001"/>
    <m/>
    <m/>
    <s v="0000000120"/>
    <m/>
    <m/>
    <m/>
    <m/>
    <m/>
    <s v="Local"/>
    <m/>
    <m/>
    <s v="Accrual"/>
    <s v="500"/>
    <s v="CT-100080835"/>
    <s v="22222"/>
    <s v="LC-100065284"/>
    <s v="AG-100055306"/>
    <m/>
    <s v="0000012999"/>
    <s v="Lessee"/>
    <s v="1000"/>
    <x v="0"/>
    <s v="Finance"/>
    <s v="IAC0001 - EQUIPMENT"/>
    <s v="UN-100135411"/>
    <s v="2025023607"/>
    <m/>
    <m/>
    <m/>
    <m/>
    <m/>
    <s v="Post"/>
    <s v="Posted"/>
    <s v="Open"/>
    <m/>
    <x v="0"/>
    <x v="1"/>
    <d v="2025-02-28T00:00:00"/>
    <d v="2025-02-28T00:00:00"/>
    <d v="2025-02-28T00:00:00"/>
    <s v="SA"/>
    <m/>
    <x v="5"/>
    <x v="5"/>
    <m/>
    <m/>
    <m/>
    <s v="Cred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0"/>
    <s v="Finance"/>
    <s v="IAC0001 - EQUIPMENT"/>
    <s v="UN-100135411"/>
    <s v="2025023607"/>
    <m/>
    <m/>
    <m/>
    <m/>
    <m/>
    <s v="Post"/>
    <s v="Posted"/>
    <s v="Open"/>
    <m/>
    <x v="0"/>
    <x v="1"/>
    <d v="2025-02-28T00:00:00"/>
    <d v="2025-02-28T00:00:00"/>
    <d v="2025-02-28T00:00:00"/>
    <s v="SA"/>
    <m/>
    <x v="9"/>
    <x v="8"/>
    <m/>
    <m/>
    <m/>
    <s v="Deb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0"/>
    <s v="Finance"/>
    <s v="IAC0001 - EQUIPMENT"/>
    <s v="UN-100135411"/>
    <s v="2025023607"/>
    <m/>
    <m/>
    <m/>
    <m/>
    <m/>
    <s v="Post"/>
    <s v="Posted"/>
    <s v="Open"/>
    <m/>
    <x v="0"/>
    <x v="1"/>
    <d v="2025-02-28T00:00:00"/>
    <d v="2025-02-28T00:00:00"/>
    <d v="2025-02-28T00:00:00"/>
    <s v="SA"/>
    <m/>
    <x v="4"/>
    <x v="4"/>
    <m/>
    <m/>
    <m/>
    <s v="Credit"/>
    <s v="Accrual"/>
    <x v="0"/>
    <n v="-7912.53"/>
    <s v="CAD"/>
    <n v="1.54"/>
    <n v="-12185.29"/>
    <s v="USD"/>
    <n v="2.85"/>
    <n v="-34728.080000000002"/>
    <m/>
    <m/>
    <m/>
  </r>
  <r>
    <s v="FINQ8S-300 - FINQ8S-300"/>
    <s v="0001"/>
    <s v="BU0001"/>
    <m/>
    <m/>
    <s v="0000000120"/>
    <m/>
    <m/>
    <m/>
    <m/>
    <m/>
    <s v="Local"/>
    <m/>
    <m/>
    <s v="Accrual"/>
    <s v="500"/>
    <s v="CT-100080835"/>
    <s v="22222"/>
    <s v="LC-100065284"/>
    <s v="AG-100055306"/>
    <m/>
    <s v="0000012999"/>
    <s v="Lessee"/>
    <s v="1000"/>
    <x v="0"/>
    <s v="Finance"/>
    <s v="IAC0001 - EQUIPMENT"/>
    <s v="UN-100135411"/>
    <s v="2025023607"/>
    <m/>
    <m/>
    <m/>
    <m/>
    <m/>
    <s v="Post"/>
    <s v="Posted"/>
    <s v="Open"/>
    <m/>
    <x v="0"/>
    <x v="1"/>
    <d v="2025-02-28T00:00:00"/>
    <d v="2025-02-28T00:00:00"/>
    <d v="2025-02-28T00:00:00"/>
    <s v="SA"/>
    <m/>
    <x v="0"/>
    <x v="0"/>
    <m/>
    <m/>
    <m/>
    <s v="Debit"/>
    <s v="Accrual"/>
    <x v="0"/>
    <n v="7912.53"/>
    <s v="CAD"/>
    <n v="1.54"/>
    <n v="12185.29"/>
    <s v="USD"/>
    <n v="2.85"/>
    <n v="34728.080000000002"/>
    <m/>
    <m/>
    <m/>
  </r>
  <r>
    <s v="FINQ8S-300 - FINQ8S-300"/>
    <s v="0001"/>
    <s v="BU0001"/>
    <m/>
    <m/>
    <s v="0000000120"/>
    <m/>
    <m/>
    <m/>
    <m/>
    <m/>
    <s v="Local"/>
    <m/>
    <m/>
    <s v="Depreciation"/>
    <s v="220"/>
    <s v="CT-100080835"/>
    <s v="22222"/>
    <s v="LC-100065284"/>
    <s v="AG-100055306"/>
    <m/>
    <s v="0000012999"/>
    <s v="Lessee"/>
    <s v="1000"/>
    <x v="0"/>
    <s v="Finance"/>
    <s v="IAC0001 - EQUIPMENT"/>
    <s v="UN-100135411"/>
    <s v="2025023608"/>
    <m/>
    <m/>
    <m/>
    <m/>
    <m/>
    <s v="Post"/>
    <s v="Posted"/>
    <s v="Open"/>
    <m/>
    <x v="0"/>
    <x v="1"/>
    <d v="2025-02-28T00:00:00"/>
    <d v="2025-02-28T00:00:00"/>
    <d v="2025-02-28T00:00:00"/>
    <s v="SA"/>
    <s v="01"/>
    <x v="10"/>
    <x v="9"/>
    <m/>
    <m/>
    <m/>
    <s v="Credit"/>
    <s v="Depreciation"/>
    <x v="0"/>
    <n v="-7908.76"/>
    <s v="CAD"/>
    <n v="1.54"/>
    <n v="-12179.49"/>
    <s v="USD"/>
    <n v="2.85"/>
    <n v="-34711.56"/>
    <m/>
    <m/>
    <m/>
  </r>
  <r>
    <s v="FINQ8S-300 - FINQ8S-300"/>
    <s v="0001"/>
    <s v="BU0001"/>
    <m/>
    <s v="0000012999"/>
    <s v="0000000120"/>
    <m/>
    <m/>
    <m/>
    <m/>
    <m/>
    <s v="Local"/>
    <m/>
    <m/>
    <s v="Depreciation"/>
    <s v="220"/>
    <s v="CT-100080835"/>
    <s v="22222"/>
    <s v="LC-100065284"/>
    <s v="AG-100055306"/>
    <m/>
    <s v="0000012999"/>
    <s v="Lessee"/>
    <s v="1000"/>
    <x v="0"/>
    <s v="Finance"/>
    <s v="IAC0001 - EQUIPMENT"/>
    <s v="UN-100135411"/>
    <s v="2025023608"/>
    <m/>
    <m/>
    <m/>
    <m/>
    <m/>
    <s v="Post"/>
    <s v="Posted"/>
    <s v="Open"/>
    <m/>
    <x v="0"/>
    <x v="1"/>
    <d v="2025-02-28T00:00:00"/>
    <d v="2025-02-28T00:00:00"/>
    <d v="2025-02-28T00:00:00"/>
    <s v="SA"/>
    <s v="01"/>
    <x v="11"/>
    <x v="10"/>
    <m/>
    <m/>
    <m/>
    <s v="Debit"/>
    <s v="Depreciation"/>
    <x v="0"/>
    <n v="7908.76"/>
    <s v="CAD"/>
    <n v="1.54"/>
    <n v="12179.49"/>
    <s v="USD"/>
    <n v="2.85"/>
    <n v="34711.56"/>
    <m/>
    <m/>
    <m/>
  </r>
  <r>
    <s v="FINQ8S-300 - FINQ8S-300"/>
    <s v="0001"/>
    <s v="BU0001"/>
    <m/>
    <m/>
    <s v="0000000120"/>
    <m/>
    <m/>
    <m/>
    <m/>
    <m/>
    <s v="Local"/>
    <m/>
    <m/>
    <s v="Accrual"/>
    <s v="500"/>
    <s v="CT-100080835"/>
    <s v="22222"/>
    <s v="LC-100065284"/>
    <s v="AG-100055306"/>
    <m/>
    <s v="0000012999"/>
    <s v="Lessee"/>
    <s v="1000"/>
    <x v="1"/>
    <s v="Operating"/>
    <s v="IAC0001 - EQUIPMENT"/>
    <s v="UN-100135411"/>
    <s v="2025023609"/>
    <m/>
    <m/>
    <m/>
    <m/>
    <m/>
    <s v="Post"/>
    <s v="Posted"/>
    <s v="Open"/>
    <m/>
    <x v="0"/>
    <x v="1"/>
    <d v="2025-02-28T00:00:00"/>
    <d v="2025-02-28T00:00:00"/>
    <d v="2025-02-28T00:00:00"/>
    <s v="SA"/>
    <m/>
    <x v="7"/>
    <x v="6"/>
    <m/>
    <m/>
    <m/>
    <s v="Credit"/>
    <s v="Accrual"/>
    <x v="0"/>
    <n v="-173.99"/>
    <s v="CAD"/>
    <n v="1.54"/>
    <n v="-267.95"/>
    <s v="USD"/>
    <n v="2.85"/>
    <n v="-763.65"/>
    <m/>
    <m/>
    <m/>
  </r>
  <r>
    <s v="FINQ8S-300 - FINQ8S-300"/>
    <s v="0001"/>
    <s v="BU0001"/>
    <m/>
    <s v="0000012999"/>
    <s v="0000000120"/>
    <m/>
    <m/>
    <m/>
    <m/>
    <m/>
    <s v="Local"/>
    <m/>
    <m/>
    <s v="Accrual"/>
    <s v="500"/>
    <s v="CT-100080835"/>
    <s v="22222"/>
    <s v="LC-100065284"/>
    <s v="AG-100055306"/>
    <m/>
    <s v="0000012999"/>
    <s v="Lessee"/>
    <s v="1000"/>
    <x v="1"/>
    <s v="Operating"/>
    <s v="IAC0001 - EQUIPMENT"/>
    <s v="UN-100135411"/>
    <s v="2025023609"/>
    <m/>
    <m/>
    <m/>
    <m/>
    <m/>
    <s v="Post"/>
    <s v="Posted"/>
    <s v="Open"/>
    <m/>
    <x v="0"/>
    <x v="1"/>
    <d v="2025-02-28T00:00:00"/>
    <d v="2025-02-28T00:00:00"/>
    <d v="2025-02-28T00:00:00"/>
    <s v="SA"/>
    <m/>
    <x v="8"/>
    <x v="7"/>
    <m/>
    <m/>
    <m/>
    <s v="Debit"/>
    <s v="Accrual"/>
    <x v="0"/>
    <n v="173.99"/>
    <s v="CAD"/>
    <n v="1.54"/>
    <n v="267.95"/>
    <s v="USD"/>
    <n v="2.85"/>
    <n v="763.65"/>
    <m/>
    <m/>
    <m/>
  </r>
  <r>
    <s v="FINQ8S-300 - FINQ8S-300"/>
    <s v="0001"/>
    <s v="BU0001"/>
    <m/>
    <m/>
    <s v="0000000120"/>
    <m/>
    <m/>
    <m/>
    <m/>
    <m/>
    <s v="Local"/>
    <m/>
    <m/>
    <s v="Accrual"/>
    <s v="500"/>
    <s v="CT-100080835"/>
    <s v="22222"/>
    <s v="LC-100065284"/>
    <s v="AG-100055306"/>
    <m/>
    <s v="0000012999"/>
    <s v="Lessee"/>
    <s v="1000"/>
    <x v="1"/>
    <s v="Operating"/>
    <s v="IAC0001 - EQUIPMENT"/>
    <s v="UN-100135411"/>
    <s v="2025023609"/>
    <m/>
    <m/>
    <m/>
    <m/>
    <m/>
    <s v="Post"/>
    <s v="Posted"/>
    <s v="Open"/>
    <m/>
    <x v="0"/>
    <x v="1"/>
    <d v="2025-02-28T00:00:00"/>
    <d v="2025-02-28T00:00:00"/>
    <d v="2025-02-28T00:00:00"/>
    <s v="SA"/>
    <m/>
    <x v="6"/>
    <x v="5"/>
    <m/>
    <m/>
    <m/>
    <s v="Cred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1"/>
    <s v="Operating"/>
    <s v="IAC0001 - EQUIPMENT"/>
    <s v="UN-100135411"/>
    <s v="2025023609"/>
    <m/>
    <m/>
    <m/>
    <m/>
    <m/>
    <s v="Post"/>
    <s v="Posted"/>
    <s v="Open"/>
    <m/>
    <x v="0"/>
    <x v="1"/>
    <d v="2025-02-28T00:00:00"/>
    <d v="2025-02-28T00:00:00"/>
    <d v="2025-02-28T00:00:00"/>
    <s v="SA"/>
    <m/>
    <x v="9"/>
    <x v="8"/>
    <m/>
    <m/>
    <m/>
    <s v="Debit"/>
    <s v="Accrual"/>
    <x v="0"/>
    <n v="900"/>
    <s v="CAD"/>
    <n v="1.54"/>
    <n v="1386"/>
    <s v="USD"/>
    <n v="2.85"/>
    <n v="3950.1"/>
    <m/>
    <m/>
    <m/>
  </r>
  <r>
    <s v="FINQ8S-300 - FINQ8S-300"/>
    <s v="0001"/>
    <s v="BU0001"/>
    <m/>
    <s v="0000012999"/>
    <s v="0000000120"/>
    <m/>
    <m/>
    <m/>
    <m/>
    <m/>
    <s v="Local"/>
    <m/>
    <m/>
    <s v="Accrual"/>
    <s v="500"/>
    <s v="CT-100080835"/>
    <s v="22222"/>
    <s v="LC-100065284"/>
    <s v="AG-100055306"/>
    <m/>
    <s v="0000012999"/>
    <s v="Lessee"/>
    <s v="1000"/>
    <x v="1"/>
    <s v="Operating"/>
    <s v="IAC0001 - EQUIPMENT"/>
    <s v="UN-100135411"/>
    <s v="2025023609"/>
    <m/>
    <m/>
    <m/>
    <m/>
    <m/>
    <s v="Post"/>
    <s v="Posted"/>
    <s v="Open"/>
    <m/>
    <x v="0"/>
    <x v="1"/>
    <d v="2025-02-28T00:00:00"/>
    <d v="2025-02-28T00:00:00"/>
    <d v="2025-02-28T00:00:00"/>
    <s v="SA"/>
    <m/>
    <x v="4"/>
    <x v="4"/>
    <m/>
    <m/>
    <m/>
    <s v="Credit"/>
    <s v="Accrual"/>
    <x v="0"/>
    <n v="-7912.53"/>
    <s v="CAD"/>
    <n v="1.54"/>
    <n v="-12185.29"/>
    <s v="USD"/>
    <n v="2.85"/>
    <n v="-34728.080000000002"/>
    <m/>
    <m/>
    <m/>
  </r>
  <r>
    <s v="FINQ8S-300 - FINQ8S-300"/>
    <s v="0001"/>
    <s v="BU0001"/>
    <m/>
    <m/>
    <s v="0000000120"/>
    <m/>
    <m/>
    <m/>
    <m/>
    <m/>
    <s v="Local"/>
    <m/>
    <m/>
    <s v="Accrual"/>
    <s v="500"/>
    <s v="CT-100080835"/>
    <s v="22222"/>
    <s v="LC-100065284"/>
    <s v="AG-100055306"/>
    <m/>
    <s v="0000012999"/>
    <s v="Lessee"/>
    <s v="1000"/>
    <x v="1"/>
    <s v="Operating"/>
    <s v="IAC0001 - EQUIPMENT"/>
    <s v="UN-100135411"/>
    <s v="2025023609"/>
    <m/>
    <m/>
    <m/>
    <m/>
    <m/>
    <s v="Post"/>
    <s v="Posted"/>
    <s v="Open"/>
    <m/>
    <x v="0"/>
    <x v="1"/>
    <d v="2025-02-28T00:00:00"/>
    <d v="2025-02-28T00:00:00"/>
    <d v="2025-02-28T00:00:00"/>
    <s v="SA"/>
    <m/>
    <x v="0"/>
    <x v="0"/>
    <m/>
    <m/>
    <m/>
    <s v="Debit"/>
    <s v="Accrual"/>
    <x v="0"/>
    <n v="7912.53"/>
    <s v="CAD"/>
    <n v="1.54"/>
    <n v="12185.29"/>
    <s v="USD"/>
    <n v="2.85"/>
    <n v="34728.080000000002"/>
    <m/>
    <m/>
    <m/>
  </r>
  <r>
    <s v="FINQ8S-300 - FINQ8S-300"/>
    <s v="0001"/>
    <s v="BU0001"/>
    <m/>
    <m/>
    <s v="0000000120"/>
    <m/>
    <m/>
    <m/>
    <m/>
    <m/>
    <s v="Local"/>
    <m/>
    <m/>
    <s v="Depreciation"/>
    <s v="220"/>
    <s v="CT-100080835"/>
    <s v="22222"/>
    <s v="LC-100065284"/>
    <s v="AG-100055306"/>
    <m/>
    <s v="0000012999"/>
    <s v="Lessee"/>
    <s v="1000"/>
    <x v="1"/>
    <s v="Operating"/>
    <s v="IAC0001 - EQUIPMENT"/>
    <s v="UN-100135411"/>
    <s v="2025023610"/>
    <m/>
    <m/>
    <m/>
    <m/>
    <m/>
    <s v="Post"/>
    <s v="Posted"/>
    <s v="Open"/>
    <m/>
    <x v="0"/>
    <x v="1"/>
    <d v="2025-02-28T00:00:00"/>
    <d v="2025-02-28T00:00:00"/>
    <d v="2025-02-28T00:00:00"/>
    <s v="SA"/>
    <s v="40"/>
    <x v="10"/>
    <x v="9"/>
    <m/>
    <m/>
    <m/>
    <s v="Credit"/>
    <s v="Depreciation"/>
    <x v="0"/>
    <n v="-7826.01"/>
    <s v="CAD"/>
    <n v="1.54"/>
    <n v="-12052.05"/>
    <s v="USD"/>
    <n v="2.85"/>
    <n v="-34348.35"/>
    <m/>
    <m/>
    <m/>
  </r>
  <r>
    <s v="FINQ8S-300 - FINQ8S-300"/>
    <s v="0001"/>
    <s v="BU0001"/>
    <m/>
    <s v="0000012999"/>
    <s v="0000000120"/>
    <m/>
    <m/>
    <m/>
    <m/>
    <m/>
    <s v="Local"/>
    <m/>
    <m/>
    <s v="Depreciation"/>
    <s v="220"/>
    <s v="CT-100080835"/>
    <s v="22222"/>
    <s v="LC-100065284"/>
    <s v="AG-100055306"/>
    <m/>
    <s v="0000012999"/>
    <s v="Lessee"/>
    <s v="1000"/>
    <x v="1"/>
    <s v="Operating"/>
    <s v="IAC0001 - EQUIPMENT"/>
    <s v="UN-100135411"/>
    <s v="2025023610"/>
    <m/>
    <m/>
    <m/>
    <m/>
    <m/>
    <s v="Post"/>
    <s v="Posted"/>
    <s v="Open"/>
    <m/>
    <x v="0"/>
    <x v="1"/>
    <d v="2025-02-28T00:00:00"/>
    <d v="2025-02-28T00:00:00"/>
    <d v="2025-02-28T00:00:00"/>
    <s v="SA"/>
    <s v="40"/>
    <x v="11"/>
    <x v="10"/>
    <m/>
    <m/>
    <m/>
    <s v="Debit"/>
    <s v="Depreciation"/>
    <x v="0"/>
    <n v="7826.01"/>
    <s v="CAD"/>
    <n v="1.54"/>
    <n v="12052.05"/>
    <s v="USD"/>
    <n v="2.85"/>
    <n v="34348.35"/>
    <m/>
    <m/>
    <m/>
  </r>
  <r>
    <s v="FINQ8S-300 - FINQ8S-300"/>
    <s v="0001"/>
    <s v="BU0001"/>
    <m/>
    <m/>
    <s v="0000000110"/>
    <m/>
    <m/>
    <m/>
    <m/>
    <m/>
    <s v="Local"/>
    <m/>
    <m/>
    <s v="Accrual"/>
    <s v="500"/>
    <s v="CT-100080838"/>
    <s v="33333"/>
    <s v="LC-100065287"/>
    <s v="AG-100055808"/>
    <m/>
    <s v="0000011093"/>
    <s v="Lessee"/>
    <s v="1000"/>
    <x v="1"/>
    <s v="Operating"/>
    <s v="IAC0001 - EQUIPMENT"/>
    <s v="UN-100135413"/>
    <s v="2025023679"/>
    <m/>
    <m/>
    <m/>
    <m/>
    <m/>
    <s v="Post"/>
    <s v="Posted"/>
    <s v="Open"/>
    <m/>
    <x v="0"/>
    <x v="1"/>
    <d v="2025-02-28T00:00:00"/>
    <d v="2025-02-28T00:00:00"/>
    <d v="2025-02-28T00:00:00"/>
    <s v="SA"/>
    <m/>
    <x v="7"/>
    <x v="6"/>
    <m/>
    <m/>
    <m/>
    <s v="Credit"/>
    <s v="Accrual"/>
    <x v="1"/>
    <n v="-141.37"/>
    <s v="CAD"/>
    <n v="1.37"/>
    <n v="-193.67"/>
    <s v="USD"/>
    <n v="2.85"/>
    <n v="-551.97"/>
    <m/>
    <m/>
    <m/>
  </r>
  <r>
    <s v="FINQ8S-300 - FINQ8S-300"/>
    <s v="0001"/>
    <s v="BU0001"/>
    <m/>
    <s v="0000011093"/>
    <s v="0000000110"/>
    <m/>
    <m/>
    <m/>
    <m/>
    <m/>
    <s v="Local"/>
    <m/>
    <m/>
    <s v="Accrual"/>
    <s v="500"/>
    <s v="CT-100080838"/>
    <s v="33333"/>
    <s v="LC-100065287"/>
    <s v="AG-100055808"/>
    <m/>
    <s v="0000011093"/>
    <s v="Lessee"/>
    <s v="1000"/>
    <x v="1"/>
    <s v="Operating"/>
    <s v="IAC0001 - EQUIPMENT"/>
    <s v="UN-100135413"/>
    <s v="2025023679"/>
    <m/>
    <m/>
    <m/>
    <m/>
    <m/>
    <s v="Post"/>
    <s v="Posted"/>
    <s v="Open"/>
    <m/>
    <x v="0"/>
    <x v="1"/>
    <d v="2025-02-28T00:00:00"/>
    <d v="2025-02-28T00:00:00"/>
    <d v="2025-02-28T00:00:00"/>
    <s v="SA"/>
    <m/>
    <x v="8"/>
    <x v="7"/>
    <m/>
    <m/>
    <m/>
    <s v="Debit"/>
    <s v="Accrual"/>
    <x v="1"/>
    <n v="141.37"/>
    <s v="CAD"/>
    <n v="1.37"/>
    <n v="193.67"/>
    <s v="USD"/>
    <n v="2.85"/>
    <n v="551.97"/>
    <m/>
    <m/>
    <m/>
  </r>
  <r>
    <s v="FINQ8S-300 - FINQ8S-300"/>
    <s v="0001"/>
    <s v="BU0001"/>
    <m/>
    <m/>
    <s v="0000000110"/>
    <m/>
    <m/>
    <m/>
    <m/>
    <m/>
    <s v="Local"/>
    <m/>
    <m/>
    <s v="Accrual"/>
    <s v="500"/>
    <s v="CT-100080838"/>
    <s v="33333"/>
    <s v="LC-100065287"/>
    <s v="AG-100055808"/>
    <m/>
    <s v="0000011093"/>
    <s v="Lessee"/>
    <s v="1000"/>
    <x v="1"/>
    <s v="Operating"/>
    <s v="IAC0001 - EQUIPMENT"/>
    <s v="UN-100135413"/>
    <s v="2025023679"/>
    <m/>
    <m/>
    <m/>
    <m/>
    <m/>
    <s v="Post"/>
    <s v="Posted"/>
    <s v="Open"/>
    <m/>
    <x v="0"/>
    <x v="1"/>
    <d v="2025-02-28T00:00:00"/>
    <d v="2025-02-28T00:00:00"/>
    <d v="2025-02-28T00:00:00"/>
    <s v="SA"/>
    <m/>
    <x v="6"/>
    <x v="5"/>
    <m/>
    <m/>
    <m/>
    <s v="Cred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1"/>
    <s v="Operating"/>
    <s v="IAC0001 - EQUIPMENT"/>
    <s v="UN-100135413"/>
    <s v="2025023679"/>
    <m/>
    <m/>
    <m/>
    <m/>
    <m/>
    <s v="Post"/>
    <s v="Posted"/>
    <s v="Open"/>
    <m/>
    <x v="0"/>
    <x v="1"/>
    <d v="2025-02-28T00:00:00"/>
    <d v="2025-02-28T00:00:00"/>
    <d v="2025-02-28T00:00:00"/>
    <s v="SA"/>
    <m/>
    <x v="12"/>
    <x v="11"/>
    <m/>
    <m/>
    <m/>
    <s v="Deb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1"/>
    <s v="Operating"/>
    <s v="IAC0001 - EQUIPMENT"/>
    <s v="UN-100135413"/>
    <s v="2025023679"/>
    <m/>
    <m/>
    <m/>
    <m/>
    <m/>
    <s v="Post"/>
    <s v="Posted"/>
    <s v="Open"/>
    <m/>
    <x v="0"/>
    <x v="1"/>
    <d v="2025-02-28T00:00:00"/>
    <d v="2025-02-28T00:00:00"/>
    <d v="2025-02-28T00:00:00"/>
    <s v="SA"/>
    <m/>
    <x v="4"/>
    <x v="4"/>
    <m/>
    <m/>
    <m/>
    <s v="Credit"/>
    <s v="Accrual"/>
    <x v="1"/>
    <n v="-6428.93"/>
    <s v="CAD"/>
    <n v="1.37"/>
    <n v="-8807.6299999999992"/>
    <s v="USD"/>
    <n v="2.85"/>
    <n v="-25101.75"/>
    <m/>
    <m/>
    <m/>
  </r>
  <r>
    <s v="FINQ8S-300 - FINQ8S-300"/>
    <s v="0001"/>
    <s v="BU0001"/>
    <m/>
    <m/>
    <s v="0000000110"/>
    <m/>
    <m/>
    <m/>
    <m/>
    <m/>
    <s v="Local"/>
    <m/>
    <m/>
    <s v="Accrual"/>
    <s v="500"/>
    <s v="CT-100080838"/>
    <s v="33333"/>
    <s v="LC-100065287"/>
    <s v="AG-100055808"/>
    <m/>
    <s v="0000011093"/>
    <s v="Lessee"/>
    <s v="1000"/>
    <x v="1"/>
    <s v="Operating"/>
    <s v="IAC0001 - EQUIPMENT"/>
    <s v="UN-100135413"/>
    <s v="2025023679"/>
    <m/>
    <m/>
    <m/>
    <m/>
    <m/>
    <s v="Post"/>
    <s v="Posted"/>
    <s v="Open"/>
    <m/>
    <x v="0"/>
    <x v="1"/>
    <d v="2025-02-28T00:00:00"/>
    <d v="2025-02-28T00:00:00"/>
    <d v="2025-02-28T00:00:00"/>
    <s v="SA"/>
    <m/>
    <x v="0"/>
    <x v="0"/>
    <m/>
    <m/>
    <m/>
    <s v="Debit"/>
    <s v="Accrual"/>
    <x v="1"/>
    <n v="6428.93"/>
    <s v="CAD"/>
    <n v="1.37"/>
    <n v="8807.6299999999992"/>
    <s v="USD"/>
    <n v="2.85"/>
    <n v="25101.75"/>
    <m/>
    <m/>
    <m/>
  </r>
  <r>
    <s v="FINQ8S-300 - FINQ8S-300"/>
    <s v="0001"/>
    <s v="BU0001"/>
    <m/>
    <m/>
    <s v="0000000110"/>
    <m/>
    <m/>
    <m/>
    <m/>
    <m/>
    <s v="Local"/>
    <m/>
    <m/>
    <s v="Depreciation"/>
    <s v="220"/>
    <s v="CT-100080838"/>
    <s v="33333"/>
    <s v="LC-100065287"/>
    <s v="AG-100055808"/>
    <m/>
    <s v="0000011093"/>
    <s v="Lessee"/>
    <s v="1000"/>
    <x v="1"/>
    <s v="Operating"/>
    <s v="IAC0001 - EQUIPMENT"/>
    <s v="UN-100135413"/>
    <s v="2025023680"/>
    <m/>
    <m/>
    <m/>
    <m/>
    <m/>
    <s v="Post"/>
    <s v="Posted"/>
    <s v="Open"/>
    <m/>
    <x v="0"/>
    <x v="1"/>
    <d v="2025-02-28T00:00:00"/>
    <d v="2025-02-28T00:00:00"/>
    <d v="2025-02-28T00:00:00"/>
    <s v="SA"/>
    <s v="40"/>
    <x v="10"/>
    <x v="9"/>
    <m/>
    <m/>
    <m/>
    <s v="Credit"/>
    <s v="Depreciation"/>
    <x v="1"/>
    <n v="-6358.63"/>
    <s v="CAD"/>
    <n v="1.37"/>
    <n v="-8711.33"/>
    <s v="USD"/>
    <n v="2.85"/>
    <n v="-24827.279999999999"/>
    <m/>
    <m/>
    <m/>
  </r>
  <r>
    <s v="FINQ8S-300 - FINQ8S-300"/>
    <s v="0001"/>
    <s v="BU0001"/>
    <m/>
    <s v="0000011093"/>
    <s v="0000000110"/>
    <m/>
    <m/>
    <m/>
    <m/>
    <m/>
    <s v="Local"/>
    <m/>
    <m/>
    <s v="Depreciation"/>
    <s v="220"/>
    <s v="CT-100080838"/>
    <s v="33333"/>
    <s v="LC-100065287"/>
    <s v="AG-100055808"/>
    <m/>
    <s v="0000011093"/>
    <s v="Lessee"/>
    <s v="1000"/>
    <x v="1"/>
    <s v="Operating"/>
    <s v="IAC0001 - EQUIPMENT"/>
    <s v="UN-100135413"/>
    <s v="2025023680"/>
    <m/>
    <m/>
    <m/>
    <m/>
    <m/>
    <s v="Post"/>
    <s v="Posted"/>
    <s v="Open"/>
    <m/>
    <x v="0"/>
    <x v="1"/>
    <d v="2025-02-28T00:00:00"/>
    <d v="2025-02-28T00:00:00"/>
    <d v="2025-02-28T00:00:00"/>
    <s v="SA"/>
    <s v="40"/>
    <x v="11"/>
    <x v="10"/>
    <m/>
    <m/>
    <m/>
    <s v="Debit"/>
    <s v="Depreciation"/>
    <x v="1"/>
    <n v="6358.63"/>
    <s v="CAD"/>
    <n v="1.37"/>
    <n v="8711.33"/>
    <s v="USD"/>
    <n v="2.85"/>
    <n v="24827.279999999999"/>
    <m/>
    <m/>
    <m/>
  </r>
  <r>
    <s v="FINQ8S-300 - FINQ8S-300"/>
    <s v="0001"/>
    <s v="BU0001"/>
    <m/>
    <m/>
    <s v="0000000110"/>
    <m/>
    <m/>
    <m/>
    <m/>
    <m/>
    <s v="Local"/>
    <m/>
    <m/>
    <s v="Accrual"/>
    <s v="500"/>
    <s v="CT-100080838"/>
    <s v="33333"/>
    <s v="LC-100065287"/>
    <s v="AG-100055808"/>
    <m/>
    <s v="0000011093"/>
    <s v="Lessee"/>
    <s v="1000"/>
    <x v="0"/>
    <s v="Finance"/>
    <s v="IAC0001 - EQUIPMENT"/>
    <s v="UN-100135413"/>
    <s v="2025023681"/>
    <m/>
    <m/>
    <m/>
    <m/>
    <m/>
    <s v="Post"/>
    <s v="Posted"/>
    <s v="Open"/>
    <m/>
    <x v="0"/>
    <x v="1"/>
    <d v="2025-02-28T00:00:00"/>
    <d v="2025-02-28T00:00:00"/>
    <d v="2025-02-28T00:00:00"/>
    <s v="SA"/>
    <m/>
    <x v="7"/>
    <x v="6"/>
    <m/>
    <m/>
    <m/>
    <s v="Credit"/>
    <s v="Accrual"/>
    <x v="1"/>
    <n v="-141.37"/>
    <s v="CAD"/>
    <n v="1.37"/>
    <n v="-193.67"/>
    <s v="USD"/>
    <n v="2.85"/>
    <n v="-551.97"/>
    <m/>
    <m/>
    <m/>
  </r>
  <r>
    <s v="FINQ8S-300 - FINQ8S-300"/>
    <s v="0001"/>
    <s v="BU0001"/>
    <m/>
    <s v="0000011093"/>
    <s v="0000000110"/>
    <m/>
    <m/>
    <m/>
    <m/>
    <m/>
    <s v="Local"/>
    <m/>
    <m/>
    <s v="Accrual"/>
    <s v="500"/>
    <s v="CT-100080838"/>
    <s v="33333"/>
    <s v="LC-100065287"/>
    <s v="AG-100055808"/>
    <m/>
    <s v="0000011093"/>
    <s v="Lessee"/>
    <s v="1000"/>
    <x v="0"/>
    <s v="Finance"/>
    <s v="IAC0001 - EQUIPMENT"/>
    <s v="UN-100135413"/>
    <s v="2025023681"/>
    <m/>
    <m/>
    <m/>
    <m/>
    <m/>
    <s v="Post"/>
    <s v="Posted"/>
    <s v="Open"/>
    <m/>
    <x v="0"/>
    <x v="1"/>
    <d v="2025-02-28T00:00:00"/>
    <d v="2025-02-28T00:00:00"/>
    <d v="2025-02-28T00:00:00"/>
    <s v="SA"/>
    <m/>
    <x v="8"/>
    <x v="7"/>
    <m/>
    <m/>
    <m/>
    <s v="Debit"/>
    <s v="Accrual"/>
    <x v="1"/>
    <n v="141.37"/>
    <s v="CAD"/>
    <n v="1.37"/>
    <n v="193.67"/>
    <s v="USD"/>
    <n v="2.85"/>
    <n v="551.97"/>
    <m/>
    <m/>
    <m/>
  </r>
  <r>
    <s v="FINQ8S-300 - FINQ8S-300"/>
    <s v="0001"/>
    <s v="BU0001"/>
    <m/>
    <m/>
    <s v="0000000110"/>
    <m/>
    <m/>
    <m/>
    <m/>
    <m/>
    <s v="Local"/>
    <m/>
    <m/>
    <s v="Accrual"/>
    <s v="500"/>
    <s v="CT-100080838"/>
    <s v="33333"/>
    <s v="LC-100065287"/>
    <s v="AG-100055808"/>
    <m/>
    <s v="0000011093"/>
    <s v="Lessee"/>
    <s v="1000"/>
    <x v="0"/>
    <s v="Finance"/>
    <s v="IAC0001 - EQUIPMENT"/>
    <s v="UN-100135413"/>
    <s v="2025023681"/>
    <m/>
    <m/>
    <m/>
    <m/>
    <m/>
    <s v="Post"/>
    <s v="Posted"/>
    <s v="Open"/>
    <m/>
    <x v="0"/>
    <x v="1"/>
    <d v="2025-02-28T00:00:00"/>
    <d v="2025-02-28T00:00:00"/>
    <d v="2025-02-28T00:00:00"/>
    <s v="SA"/>
    <m/>
    <x v="6"/>
    <x v="5"/>
    <m/>
    <m/>
    <m/>
    <s v="Cred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0"/>
    <s v="Finance"/>
    <s v="IAC0001 - EQUIPMENT"/>
    <s v="UN-100135413"/>
    <s v="2025023681"/>
    <m/>
    <m/>
    <m/>
    <m/>
    <m/>
    <s v="Post"/>
    <s v="Posted"/>
    <s v="Open"/>
    <m/>
    <x v="0"/>
    <x v="1"/>
    <d v="2025-02-28T00:00:00"/>
    <d v="2025-02-28T00:00:00"/>
    <d v="2025-02-28T00:00:00"/>
    <s v="SA"/>
    <m/>
    <x v="12"/>
    <x v="11"/>
    <m/>
    <m/>
    <m/>
    <s v="Debit"/>
    <s v="Accrual"/>
    <x v="1"/>
    <n v="250"/>
    <s v="CAD"/>
    <n v="1.37"/>
    <n v="342.5"/>
    <s v="USD"/>
    <n v="2.85"/>
    <n v="976.13"/>
    <m/>
    <m/>
    <m/>
  </r>
  <r>
    <s v="FINQ8S-300 - FINQ8S-300"/>
    <s v="0001"/>
    <s v="BU0001"/>
    <m/>
    <s v="0000011093"/>
    <s v="0000000110"/>
    <m/>
    <m/>
    <m/>
    <m/>
    <m/>
    <s v="Local"/>
    <m/>
    <m/>
    <s v="Accrual"/>
    <s v="500"/>
    <s v="CT-100080838"/>
    <s v="33333"/>
    <s v="LC-100065287"/>
    <s v="AG-100055808"/>
    <m/>
    <s v="0000011093"/>
    <s v="Lessee"/>
    <s v="1000"/>
    <x v="0"/>
    <s v="Finance"/>
    <s v="IAC0001 - EQUIPMENT"/>
    <s v="UN-100135413"/>
    <s v="2025023681"/>
    <m/>
    <m/>
    <m/>
    <m/>
    <m/>
    <s v="Post"/>
    <s v="Posted"/>
    <s v="Open"/>
    <m/>
    <x v="0"/>
    <x v="1"/>
    <d v="2025-02-28T00:00:00"/>
    <d v="2025-02-28T00:00:00"/>
    <d v="2025-02-28T00:00:00"/>
    <s v="SA"/>
    <m/>
    <x v="4"/>
    <x v="4"/>
    <m/>
    <m/>
    <m/>
    <s v="Credit"/>
    <s v="Accrual"/>
    <x v="1"/>
    <n v="-6428.93"/>
    <s v="CAD"/>
    <n v="1.37"/>
    <n v="-8807.6299999999992"/>
    <s v="USD"/>
    <n v="2.85"/>
    <n v="-25101.75"/>
    <m/>
    <m/>
    <m/>
  </r>
  <r>
    <s v="FINQ8S-300 - FINQ8S-300"/>
    <s v="0001"/>
    <s v="BU0001"/>
    <m/>
    <m/>
    <s v="0000000110"/>
    <m/>
    <m/>
    <m/>
    <m/>
    <m/>
    <s v="Local"/>
    <m/>
    <m/>
    <s v="Accrual"/>
    <s v="500"/>
    <s v="CT-100080838"/>
    <s v="33333"/>
    <s v="LC-100065287"/>
    <s v="AG-100055808"/>
    <m/>
    <s v="0000011093"/>
    <s v="Lessee"/>
    <s v="1000"/>
    <x v="0"/>
    <s v="Finance"/>
    <s v="IAC0001 - EQUIPMENT"/>
    <s v="UN-100135413"/>
    <s v="2025023681"/>
    <m/>
    <m/>
    <m/>
    <m/>
    <m/>
    <s v="Post"/>
    <s v="Posted"/>
    <s v="Open"/>
    <m/>
    <x v="0"/>
    <x v="1"/>
    <d v="2025-02-28T00:00:00"/>
    <d v="2025-02-28T00:00:00"/>
    <d v="2025-02-28T00:00:00"/>
    <s v="SA"/>
    <m/>
    <x v="0"/>
    <x v="0"/>
    <m/>
    <m/>
    <m/>
    <s v="Debit"/>
    <s v="Accrual"/>
    <x v="1"/>
    <n v="6428.93"/>
    <s v="CAD"/>
    <n v="1.37"/>
    <n v="8807.6299999999992"/>
    <s v="USD"/>
    <n v="2.85"/>
    <n v="25101.75"/>
    <m/>
    <m/>
    <m/>
  </r>
  <r>
    <s v="FINQ8S-300 - FINQ8S-300"/>
    <s v="0001"/>
    <s v="BU0001"/>
    <m/>
    <m/>
    <s v="0000000110"/>
    <m/>
    <m/>
    <m/>
    <m/>
    <m/>
    <s v="Local"/>
    <m/>
    <m/>
    <s v="Depreciation"/>
    <s v="220"/>
    <s v="CT-100080838"/>
    <s v="33333"/>
    <s v="LC-100065287"/>
    <s v="AG-100055808"/>
    <m/>
    <s v="0000011093"/>
    <s v="Lessee"/>
    <s v="1000"/>
    <x v="0"/>
    <s v="Finance"/>
    <s v="IAC0001 - EQUIPMENT"/>
    <s v="UN-100135413"/>
    <s v="2025023682"/>
    <m/>
    <m/>
    <m/>
    <m/>
    <m/>
    <s v="Post"/>
    <s v="Posted"/>
    <s v="Open"/>
    <m/>
    <x v="0"/>
    <x v="1"/>
    <d v="2025-02-28T00:00:00"/>
    <d v="2025-02-28T00:00:00"/>
    <d v="2025-02-28T00:00:00"/>
    <s v="SA"/>
    <s v="01"/>
    <x v="10"/>
    <x v="9"/>
    <m/>
    <m/>
    <m/>
    <s v="Credit"/>
    <s v="Depreciation"/>
    <x v="1"/>
    <n v="-6406.72"/>
    <s v="CAD"/>
    <n v="1.37"/>
    <n v="-8777.2000000000007"/>
    <s v="USD"/>
    <n v="2.85"/>
    <n v="-25015.02"/>
    <m/>
    <m/>
    <m/>
  </r>
  <r>
    <s v="FINQ8S-300 - FINQ8S-300"/>
    <s v="0001"/>
    <s v="BU0001"/>
    <m/>
    <s v="0000011093"/>
    <s v="0000000110"/>
    <m/>
    <m/>
    <m/>
    <m/>
    <m/>
    <s v="Local"/>
    <m/>
    <m/>
    <s v="Depreciation"/>
    <s v="220"/>
    <s v="CT-100080838"/>
    <s v="33333"/>
    <s v="LC-100065287"/>
    <s v="AG-100055808"/>
    <m/>
    <s v="0000011093"/>
    <s v="Lessee"/>
    <s v="1000"/>
    <x v="0"/>
    <s v="Finance"/>
    <s v="IAC0001 - EQUIPMENT"/>
    <s v="UN-100135413"/>
    <s v="2025023682"/>
    <m/>
    <m/>
    <m/>
    <m/>
    <m/>
    <s v="Post"/>
    <s v="Posted"/>
    <s v="Open"/>
    <m/>
    <x v="0"/>
    <x v="1"/>
    <d v="2025-02-28T00:00:00"/>
    <d v="2025-02-28T00:00:00"/>
    <d v="2025-02-28T00:00:00"/>
    <s v="SA"/>
    <s v="01"/>
    <x v="11"/>
    <x v="10"/>
    <m/>
    <m/>
    <m/>
    <s v="Debit"/>
    <s v="Depreciation"/>
    <x v="1"/>
    <n v="6406.72"/>
    <s v="CAD"/>
    <n v="1.37"/>
    <n v="8777.2000000000007"/>
    <s v="USD"/>
    <n v="2.85"/>
    <n v="25015.0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213D1-0746-4321-B457-5FD44912C69D}" name="PivotTable2"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26" firstHeaderRow="0" firstDataRow="1" firstDataCol="3" rowPageCount="3" colPageCount="1"/>
  <pivotFields count="6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numFmtId="166" outline="0" showAll="0" defaultSubtotal="0">
      <items count="1">
        <item x="0"/>
      </items>
      <extLst>
        <ext xmlns:x14="http://schemas.microsoft.com/office/spreadsheetml/2009/9/main" uri="{2946ED86-A175-432a-8AC1-64E0C546D7DE}">
          <x14:pivotField fillDownLabels="1"/>
        </ext>
      </extLst>
    </pivotField>
    <pivotField axis="axisPage" compact="0" numFmtId="166" outline="0" showAll="0" defaultSubtotal="0">
      <items count="1">
        <item x="0"/>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10"/>
        <item x="1"/>
        <item x="3"/>
        <item x="2"/>
        <item x="7"/>
        <item x="6"/>
        <item x="5"/>
        <item x="4"/>
        <item x="0"/>
        <item x="8"/>
        <item x="11"/>
        <item x="9"/>
        <item x="12"/>
      </items>
      <extLst>
        <ext xmlns:x14="http://schemas.microsoft.com/office/spreadsheetml/2009/9/main" uri="{2946ED86-A175-432a-8AC1-64E0C546D7DE}">
          <x14:pivotField fillDownLabels="1"/>
        </ext>
      </extLst>
    </pivotField>
    <pivotField axis="axisRow" compact="0" outline="0" showAll="0" defaultSubtotal="0">
      <items count="17">
        <item m="1" x="12"/>
        <item x="6"/>
        <item m="1" x="13"/>
        <item m="1" x="16"/>
        <item m="1" x="14"/>
        <item m="1" x="15"/>
        <item x="0"/>
        <item x="5"/>
        <item x="8"/>
        <item x="2"/>
        <item x="11"/>
        <item x="4"/>
        <item x="1"/>
        <item x="3"/>
        <item x="7"/>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52"/>
    <field x="45"/>
    <field x="46"/>
  </rowFields>
  <rowItems count="21">
    <i>
      <x/>
      <x/>
      <x v="15"/>
    </i>
    <i r="1">
      <x v="1"/>
      <x v="12"/>
    </i>
    <i r="1">
      <x v="2"/>
      <x v="13"/>
    </i>
    <i r="1">
      <x v="3"/>
      <x v="9"/>
    </i>
    <i r="1">
      <x v="4"/>
      <x v="1"/>
    </i>
    <i r="1">
      <x v="5"/>
      <x v="7"/>
    </i>
    <i r="1">
      <x v="7"/>
      <x v="11"/>
    </i>
    <i r="1">
      <x v="8"/>
      <x v="6"/>
    </i>
    <i r="1">
      <x v="9"/>
      <x v="14"/>
    </i>
    <i r="1">
      <x v="10"/>
      <x v="16"/>
    </i>
    <i r="1">
      <x v="11"/>
      <x v="8"/>
    </i>
    <i>
      <x v="1"/>
      <x/>
      <x v="15"/>
    </i>
    <i r="1">
      <x v="2"/>
      <x v="13"/>
    </i>
    <i r="1">
      <x v="4"/>
      <x v="1"/>
    </i>
    <i r="1">
      <x v="5"/>
      <x v="7"/>
    </i>
    <i r="1">
      <x v="7"/>
      <x v="11"/>
    </i>
    <i r="1">
      <x v="8"/>
      <x v="6"/>
    </i>
    <i r="1">
      <x v="9"/>
      <x v="14"/>
    </i>
    <i r="1">
      <x v="10"/>
      <x v="16"/>
    </i>
    <i r="1">
      <x v="12"/>
      <x v="10"/>
    </i>
    <i t="grand">
      <x/>
    </i>
  </rowItems>
  <colFields count="1">
    <field x="-2"/>
  </colFields>
  <colItems count="2">
    <i>
      <x/>
    </i>
    <i i="1">
      <x v="1"/>
    </i>
  </colItems>
  <pageFields count="3">
    <pageField fld="38" item="0" hier="-1"/>
    <pageField fld="39" item="0" hier="-1"/>
    <pageField fld="24" item="0" hier="-1"/>
  </pageFields>
  <dataFields count="2">
    <dataField name="Sum of Amount in Contract Currency" fld="53" baseField="0" baseItem="0" numFmtId="167"/>
    <dataField name="Sum of Amount in Company Currency" fld="5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A7045D-3F5A-4D20-9E92-E3AB5625C980}" name="PivotTable1"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26" firstHeaderRow="0" firstDataRow="1" firstDataCol="3" rowPageCount="3" colPageCount="1"/>
  <pivotFields count="6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numFmtId="166" outline="0" showAll="0" defaultSubtotal="0">
      <items count="1">
        <item x="0"/>
      </items>
      <extLst>
        <ext xmlns:x14="http://schemas.microsoft.com/office/spreadsheetml/2009/9/main" uri="{2946ED86-A175-432a-8AC1-64E0C546D7DE}">
          <x14:pivotField fillDownLabels="1"/>
        </ext>
      </extLst>
    </pivotField>
    <pivotField axis="axisPage" compact="0" numFmtId="166" outline="0" multipleItemSelectionAllowed="1" showAll="0" defaultSubtotal="0">
      <items count="2">
        <item x="0"/>
        <item x="1"/>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10"/>
        <item x="1"/>
        <item x="3"/>
        <item x="2"/>
        <item x="7"/>
        <item x="6"/>
        <item x="5"/>
        <item x="4"/>
        <item x="0"/>
        <item x="8"/>
        <item x="11"/>
        <item x="9"/>
        <item x="12"/>
      </items>
      <extLst>
        <ext xmlns:x14="http://schemas.microsoft.com/office/spreadsheetml/2009/9/main" uri="{2946ED86-A175-432a-8AC1-64E0C546D7DE}">
          <x14:pivotField fillDownLabels="1"/>
        </ext>
      </extLst>
    </pivotField>
    <pivotField axis="axisRow" compact="0" outline="0" showAll="0" defaultSubtotal="0">
      <items count="12">
        <item x="6"/>
        <item x="9"/>
        <item x="3"/>
        <item x="1"/>
        <item x="10"/>
        <item x="7"/>
        <item x="0"/>
        <item x="5"/>
        <item x="8"/>
        <item x="2"/>
        <item x="1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52"/>
    <field x="45"/>
    <field x="46"/>
  </rowFields>
  <rowItems count="21">
    <i>
      <x/>
      <x/>
      <x v="1"/>
    </i>
    <i r="1">
      <x v="1"/>
      <x v="3"/>
    </i>
    <i r="1">
      <x v="2"/>
      <x v="2"/>
    </i>
    <i r="1">
      <x v="3"/>
      <x v="9"/>
    </i>
    <i r="1">
      <x v="4"/>
      <x/>
    </i>
    <i r="1">
      <x v="5"/>
      <x v="7"/>
    </i>
    <i r="1">
      <x v="7"/>
      <x v="11"/>
    </i>
    <i r="1">
      <x v="8"/>
      <x v="6"/>
    </i>
    <i r="1">
      <x v="9"/>
      <x v="5"/>
    </i>
    <i r="1">
      <x v="10"/>
      <x v="4"/>
    </i>
    <i r="1">
      <x v="11"/>
      <x v="8"/>
    </i>
    <i>
      <x v="1"/>
      <x/>
      <x v="1"/>
    </i>
    <i r="1">
      <x v="2"/>
      <x v="2"/>
    </i>
    <i r="1">
      <x v="4"/>
      <x/>
    </i>
    <i r="1">
      <x v="5"/>
      <x v="7"/>
    </i>
    <i r="1">
      <x v="7"/>
      <x v="11"/>
    </i>
    <i r="1">
      <x v="8"/>
      <x v="6"/>
    </i>
    <i r="1">
      <x v="9"/>
      <x v="5"/>
    </i>
    <i r="1">
      <x v="10"/>
      <x v="4"/>
    </i>
    <i r="1">
      <x v="12"/>
      <x v="10"/>
    </i>
    <i t="grand">
      <x/>
    </i>
  </rowItems>
  <colFields count="1">
    <field x="-2"/>
  </colFields>
  <colItems count="2">
    <i>
      <x/>
    </i>
    <i i="1">
      <x v="1"/>
    </i>
  </colItems>
  <pageFields count="3">
    <pageField fld="38" item="0" hier="-1"/>
    <pageField fld="39" hier="-1"/>
    <pageField fld="24" item="0" hier="-1"/>
  </pageFields>
  <dataFields count="2">
    <dataField name="Sum of Amount in Contract Currency" fld="53" baseField="0" baseItem="0" numFmtId="167"/>
    <dataField name="Sum of Amount in Company Currency" fld="5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39CA-E88A-4597-AC7F-98C8BA5F5147}">
  <dimension ref="B1:W70"/>
  <sheetViews>
    <sheetView showGridLines="0" zoomScale="120" zoomScaleNormal="120" workbookViewId="0">
      <selection activeCell="O11" sqref="O11"/>
    </sheetView>
  </sheetViews>
  <sheetFormatPr defaultColWidth="8.7265625" defaultRowHeight="14.5" x14ac:dyDescent="0.35"/>
  <cols>
    <col min="1" max="2" width="8.7265625" style="3"/>
    <col min="3" max="3" width="8" style="3" customWidth="1"/>
    <col min="4" max="4" width="9.453125" style="3" customWidth="1"/>
    <col min="5" max="19" width="8.7265625" style="3"/>
    <col min="20" max="20" width="8.7265625" style="3" customWidth="1"/>
    <col min="21" max="21" width="8.7265625" style="3"/>
    <col min="22" max="22" width="11.54296875" style="3" customWidth="1"/>
    <col min="23" max="23" width="18.453125" style="3" customWidth="1"/>
    <col min="24" max="16384" width="8.7265625" style="3"/>
  </cols>
  <sheetData>
    <row r="1" spans="2:23" s="1" customFormat="1" x14ac:dyDescent="0.35"/>
    <row r="2" spans="2:23" s="1" customFormat="1" x14ac:dyDescent="0.35"/>
    <row r="3" spans="2:23" s="1" customFormat="1" x14ac:dyDescent="0.35"/>
    <row r="5" spans="2:23" x14ac:dyDescent="0.35">
      <c r="C5" s="2" t="s">
        <v>0</v>
      </c>
    </row>
    <row r="6" spans="2:23" x14ac:dyDescent="0.35">
      <c r="C6" s="3" t="s">
        <v>1</v>
      </c>
      <c r="T6" s="42" t="s">
        <v>2</v>
      </c>
      <c r="U6" s="43"/>
      <c r="V6" s="43"/>
      <c r="W6" s="44"/>
    </row>
    <row r="7" spans="2:23" x14ac:dyDescent="0.35">
      <c r="C7" s="3" t="s">
        <v>3</v>
      </c>
      <c r="T7" s="45"/>
      <c r="U7" s="2" t="s">
        <v>4</v>
      </c>
      <c r="W7" s="46" t="s">
        <v>5</v>
      </c>
    </row>
    <row r="8" spans="2:23" x14ac:dyDescent="0.35">
      <c r="T8" s="45"/>
      <c r="U8" s="2" t="s">
        <v>6</v>
      </c>
      <c r="W8" s="46"/>
    </row>
    <row r="9" spans="2:23" x14ac:dyDescent="0.35">
      <c r="C9" s="3" t="s">
        <v>7</v>
      </c>
      <c r="T9" s="45"/>
      <c r="V9" s="3" t="s">
        <v>8</v>
      </c>
      <c r="W9" s="46" t="s">
        <v>9</v>
      </c>
    </row>
    <row r="10" spans="2:23" x14ac:dyDescent="0.35">
      <c r="C10" s="4" t="s">
        <v>10</v>
      </c>
      <c r="T10" s="45"/>
      <c r="V10" s="3" t="s">
        <v>11</v>
      </c>
      <c r="W10" s="46" t="s">
        <v>12</v>
      </c>
    </row>
    <row r="11" spans="2:23" x14ac:dyDescent="0.35">
      <c r="C11" s="4" t="s">
        <v>13</v>
      </c>
      <c r="T11" s="47" t="s">
        <v>14</v>
      </c>
      <c r="U11" s="48"/>
      <c r="V11" s="48"/>
      <c r="W11" s="49" t="s">
        <v>15</v>
      </c>
    </row>
    <row r="12" spans="2:23" ht="30" customHeight="1" x14ac:dyDescent="0.35">
      <c r="C12" s="4" t="s">
        <v>16</v>
      </c>
      <c r="T12" s="72" t="s">
        <v>17</v>
      </c>
      <c r="U12" s="72"/>
      <c r="V12" s="72"/>
      <c r="W12" s="72"/>
    </row>
    <row r="13" spans="2:23" x14ac:dyDescent="0.35">
      <c r="C13" s="4"/>
    </row>
    <row r="14" spans="2:23" x14ac:dyDescent="0.35">
      <c r="C14" s="4"/>
    </row>
    <row r="15" spans="2:23" x14ac:dyDescent="0.35">
      <c r="C15" s="4"/>
    </row>
    <row r="16" spans="2:23" x14ac:dyDescent="0.35">
      <c r="B16" s="2" t="s">
        <v>18</v>
      </c>
      <c r="C16" s="4"/>
    </row>
    <row r="17" spans="3:10" x14ac:dyDescent="0.35">
      <c r="C17" s="4"/>
    </row>
    <row r="18" spans="3:10" x14ac:dyDescent="0.35">
      <c r="C18" s="2" t="s">
        <v>19</v>
      </c>
      <c r="D18" s="2" t="s">
        <v>20</v>
      </c>
      <c r="E18" s="2"/>
      <c r="F18" s="2"/>
      <c r="G18" s="2"/>
      <c r="H18" s="2"/>
      <c r="I18" s="2"/>
      <c r="J18" s="2"/>
    </row>
    <row r="19" spans="3:10" x14ac:dyDescent="0.35">
      <c r="E19" s="4" t="s">
        <v>21</v>
      </c>
    </row>
    <row r="20" spans="3:10" x14ac:dyDescent="0.35">
      <c r="E20" s="4" t="s">
        <v>22</v>
      </c>
    </row>
    <row r="21" spans="3:10" x14ac:dyDescent="0.35">
      <c r="E21" s="4" t="s">
        <v>23</v>
      </c>
    </row>
    <row r="22" spans="3:10" x14ac:dyDescent="0.35">
      <c r="C22" s="2" t="s">
        <v>24</v>
      </c>
      <c r="D22" s="2" t="s">
        <v>25</v>
      </c>
    </row>
    <row r="23" spans="3:10" x14ac:dyDescent="0.35">
      <c r="E23" s="4" t="s">
        <v>26</v>
      </c>
    </row>
    <row r="24" spans="3:10" x14ac:dyDescent="0.35">
      <c r="E24" s="4" t="s">
        <v>27</v>
      </c>
    </row>
    <row r="25" spans="3:10" x14ac:dyDescent="0.35">
      <c r="E25" s="4" t="s">
        <v>28</v>
      </c>
    </row>
    <row r="26" spans="3:10" x14ac:dyDescent="0.35">
      <c r="E26" s="4"/>
    </row>
    <row r="27" spans="3:10" x14ac:dyDescent="0.35">
      <c r="C27" s="2" t="s">
        <v>29</v>
      </c>
      <c r="D27" s="2" t="s">
        <v>30</v>
      </c>
      <c r="E27" s="2"/>
    </row>
    <row r="28" spans="3:10" x14ac:dyDescent="0.35">
      <c r="E28" s="4" t="s">
        <v>31</v>
      </c>
    </row>
    <row r="29" spans="3:10" x14ac:dyDescent="0.35">
      <c r="E29" s="4" t="s">
        <v>32</v>
      </c>
    </row>
    <row r="30" spans="3:10" x14ac:dyDescent="0.35">
      <c r="E30" s="4" t="s">
        <v>33</v>
      </c>
    </row>
    <row r="31" spans="3:10" x14ac:dyDescent="0.35">
      <c r="E31" s="4" t="s">
        <v>34</v>
      </c>
    </row>
    <row r="32" spans="3:10" x14ac:dyDescent="0.35">
      <c r="E32" s="4" t="s">
        <v>35</v>
      </c>
    </row>
    <row r="33" spans="2:10" x14ac:dyDescent="0.35">
      <c r="E33" s="4" t="s">
        <v>36</v>
      </c>
    </row>
    <row r="34" spans="2:10" x14ac:dyDescent="0.35">
      <c r="E34" s="4"/>
    </row>
    <row r="35" spans="2:10" x14ac:dyDescent="0.35">
      <c r="C35" s="2" t="s">
        <v>37</v>
      </c>
      <c r="D35" s="2" t="s">
        <v>38</v>
      </c>
    </row>
    <row r="36" spans="2:10" x14ac:dyDescent="0.35">
      <c r="E36" s="4" t="s">
        <v>39</v>
      </c>
    </row>
    <row r="37" spans="2:10" x14ac:dyDescent="0.35">
      <c r="E37" s="4" t="s">
        <v>40</v>
      </c>
    </row>
    <row r="40" spans="2:10" x14ac:dyDescent="0.35">
      <c r="B40" s="2" t="s">
        <v>41</v>
      </c>
    </row>
    <row r="41" spans="2:10" x14ac:dyDescent="0.35">
      <c r="C41" s="3" t="s">
        <v>42</v>
      </c>
    </row>
    <row r="43" spans="2:10" x14ac:dyDescent="0.35">
      <c r="C43" s="2" t="s">
        <v>19</v>
      </c>
      <c r="D43" s="2" t="s">
        <v>43</v>
      </c>
      <c r="E43" s="2"/>
      <c r="F43" s="2"/>
      <c r="G43" s="2"/>
      <c r="H43" s="2"/>
      <c r="I43" s="2"/>
      <c r="J43" s="2"/>
    </row>
    <row r="44" spans="2:10" x14ac:dyDescent="0.35">
      <c r="E44" s="4" t="s">
        <v>22</v>
      </c>
    </row>
    <row r="45" spans="2:10" x14ac:dyDescent="0.35">
      <c r="E45" s="4" t="s">
        <v>44</v>
      </c>
    </row>
    <row r="46" spans="2:10" x14ac:dyDescent="0.35">
      <c r="E46" s="4" t="s">
        <v>45</v>
      </c>
    </row>
    <row r="47" spans="2:10" x14ac:dyDescent="0.35">
      <c r="E47" s="4"/>
    </row>
    <row r="48" spans="2:10" x14ac:dyDescent="0.35">
      <c r="C48" s="2" t="s">
        <v>24</v>
      </c>
      <c r="D48" s="2" t="s">
        <v>25</v>
      </c>
    </row>
    <row r="49" spans="3:5" x14ac:dyDescent="0.35">
      <c r="E49" s="4" t="s">
        <v>46</v>
      </c>
    </row>
    <row r="50" spans="3:5" x14ac:dyDescent="0.35">
      <c r="E50" s="4" t="s">
        <v>27</v>
      </c>
    </row>
    <row r="51" spans="3:5" x14ac:dyDescent="0.35">
      <c r="E51" s="4" t="s">
        <v>28</v>
      </c>
    </row>
    <row r="52" spans="3:5" x14ac:dyDescent="0.35">
      <c r="E52" s="4"/>
    </row>
    <row r="53" spans="3:5" x14ac:dyDescent="0.35">
      <c r="C53" s="2" t="s">
        <v>29</v>
      </c>
      <c r="D53" s="2" t="s">
        <v>47</v>
      </c>
      <c r="E53" s="4"/>
    </row>
    <row r="54" spans="3:5" x14ac:dyDescent="0.35">
      <c r="E54" s="4" t="s">
        <v>48</v>
      </c>
    </row>
    <row r="55" spans="3:5" x14ac:dyDescent="0.35">
      <c r="E55" s="4" t="s">
        <v>49</v>
      </c>
    </row>
    <row r="56" spans="3:5" x14ac:dyDescent="0.35">
      <c r="E56" s="4" t="s">
        <v>50</v>
      </c>
    </row>
    <row r="57" spans="3:5" x14ac:dyDescent="0.35">
      <c r="E57" s="4"/>
    </row>
    <row r="58" spans="3:5" x14ac:dyDescent="0.35">
      <c r="C58" s="2" t="s">
        <v>37</v>
      </c>
      <c r="D58" s="2" t="s">
        <v>51</v>
      </c>
      <c r="E58" s="4"/>
    </row>
    <row r="59" spans="3:5" x14ac:dyDescent="0.35">
      <c r="E59" s="4" t="s">
        <v>31</v>
      </c>
    </row>
    <row r="60" spans="3:5" x14ac:dyDescent="0.35">
      <c r="E60" s="4" t="s">
        <v>32</v>
      </c>
    </row>
    <row r="61" spans="3:5" x14ac:dyDescent="0.35">
      <c r="E61" s="4" t="s">
        <v>33</v>
      </c>
    </row>
    <row r="62" spans="3:5" x14ac:dyDescent="0.35">
      <c r="E62" s="4" t="s">
        <v>34</v>
      </c>
    </row>
    <row r="63" spans="3:5" x14ac:dyDescent="0.35">
      <c r="E63" s="4" t="s">
        <v>35</v>
      </c>
    </row>
    <row r="64" spans="3:5" x14ac:dyDescent="0.35">
      <c r="E64" s="4" t="s">
        <v>36</v>
      </c>
    </row>
    <row r="67" spans="3:5" x14ac:dyDescent="0.35">
      <c r="E67" s="4"/>
    </row>
    <row r="68" spans="3:5" x14ac:dyDescent="0.35">
      <c r="C68" s="2" t="s">
        <v>37</v>
      </c>
      <c r="D68" s="2" t="s">
        <v>38</v>
      </c>
    </row>
    <row r="69" spans="3:5" x14ac:dyDescent="0.35">
      <c r="E69" s="4" t="s">
        <v>39</v>
      </c>
    </row>
    <row r="70" spans="3:5" x14ac:dyDescent="0.35">
      <c r="E70" s="4" t="s">
        <v>40</v>
      </c>
    </row>
  </sheetData>
  <mergeCells count="1">
    <mergeCell ref="T12:W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6DBF-0FCA-4E91-AB94-1F7A7D0A430D}">
  <dimension ref="A1"/>
  <sheetViews>
    <sheetView workbookViewId="0">
      <selection activeCell="G49" sqref="G49"/>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57F84-4AAB-4705-8E35-4191DE82AA9D}">
  <dimension ref="A1:BK85"/>
  <sheetViews>
    <sheetView topLeftCell="A7" workbookViewId="0">
      <selection activeCell="H14" sqref="H14"/>
    </sheetView>
  </sheetViews>
  <sheetFormatPr defaultColWidth="8.7265625" defaultRowHeight="14.5" x14ac:dyDescent="0.35"/>
  <cols>
    <col min="1" max="1" width="24.54296875" style="3" bestFit="1" customWidth="1"/>
    <col min="2" max="2" width="26.453125" style="3" bestFit="1" customWidth="1"/>
    <col min="3" max="3" width="21.453125" style="3" bestFit="1" customWidth="1"/>
    <col min="4" max="4" width="23.54296875" style="3" bestFit="1" customWidth="1"/>
    <col min="5" max="5" width="21.81640625" style="3" bestFit="1" customWidth="1"/>
    <col min="6" max="6" width="23.1796875" style="3" bestFit="1" customWidth="1"/>
    <col min="7" max="7" width="34.453125" style="3" bestFit="1" customWidth="1"/>
    <col min="8" max="8" width="10.1796875" style="3" bestFit="1" customWidth="1"/>
    <col min="9" max="9" width="19.1796875" style="3" bestFit="1" customWidth="1"/>
    <col min="10" max="10" width="21.1796875" style="3" bestFit="1" customWidth="1"/>
    <col min="11" max="11" width="14.1796875" style="3" bestFit="1" customWidth="1"/>
    <col min="12" max="12" width="12.1796875" style="3" bestFit="1" customWidth="1"/>
    <col min="13" max="13" width="27.81640625" style="3" bestFit="1" customWidth="1"/>
    <col min="14" max="14" width="20.81640625" style="3" bestFit="1" customWidth="1"/>
    <col min="15" max="15" width="22.453125" style="3" bestFit="1" customWidth="1"/>
    <col min="16" max="16" width="28.54296875" style="3" bestFit="1" customWidth="1"/>
    <col min="17" max="17" width="16.54296875" style="3" bestFit="1" customWidth="1"/>
    <col min="18" max="18" width="20.453125" style="3" bestFit="1" customWidth="1"/>
    <col min="19" max="19" width="26" style="3" bestFit="1" customWidth="1"/>
    <col min="20" max="20" width="25.1796875" style="3" bestFit="1" customWidth="1"/>
    <col min="21" max="21" width="33.453125" style="3" bestFit="1" customWidth="1"/>
    <col min="22" max="22" width="26.1796875" style="3" bestFit="1" customWidth="1"/>
    <col min="23" max="23" width="22.54296875" style="3" bestFit="1" customWidth="1"/>
    <col min="24" max="24" width="20.453125" style="3" bestFit="1" customWidth="1"/>
    <col min="25" max="25" width="26.26953125" style="3" bestFit="1" customWidth="1"/>
    <col min="26" max="26" width="24.453125" style="3" bestFit="1" customWidth="1"/>
    <col min="27" max="27" width="24.54296875" style="3" bestFit="1" customWidth="1"/>
    <col min="28" max="28" width="13.1796875" style="3" bestFit="1" customWidth="1"/>
    <col min="29" max="29" width="32.81640625" style="3" bestFit="1" customWidth="1"/>
    <col min="30" max="30" width="33.26953125" style="3" bestFit="1" customWidth="1"/>
    <col min="31" max="31" width="41.81640625" style="3" bestFit="1" customWidth="1"/>
    <col min="32" max="32" width="42.453125" style="3" bestFit="1" customWidth="1"/>
    <col min="33" max="33" width="41.26953125" style="3" bestFit="1" customWidth="1"/>
    <col min="34" max="34" width="41.54296875" style="3" bestFit="1" customWidth="1"/>
    <col min="35" max="35" width="18.453125" style="3" bestFit="1" customWidth="1"/>
    <col min="36" max="36" width="20" style="3" bestFit="1" customWidth="1"/>
    <col min="37" max="37" width="20.453125" style="3" bestFit="1" customWidth="1"/>
    <col min="38" max="38" width="25.81640625" style="3" bestFit="1" customWidth="1"/>
    <col min="39" max="39" width="15.81640625" style="3" bestFit="1" customWidth="1"/>
    <col min="40" max="40" width="17.81640625" style="3" bestFit="1" customWidth="1"/>
    <col min="41" max="41" width="21.81640625" style="3" bestFit="1" customWidth="1"/>
    <col min="42" max="42" width="18" style="3" bestFit="1" customWidth="1"/>
    <col min="43" max="43" width="21" style="3" bestFit="1" customWidth="1"/>
    <col min="44" max="44" width="21.1796875" style="3" bestFit="1" customWidth="1"/>
    <col min="45" max="45" width="23.453125" style="3" bestFit="1" customWidth="1"/>
    <col min="46" max="46" width="22.453125" style="3" bestFit="1" customWidth="1"/>
    <col min="47" max="47" width="21.453125" style="3" bestFit="1" customWidth="1"/>
    <col min="48" max="48" width="12.7265625" style="3" bestFit="1" customWidth="1"/>
    <col min="49" max="49" width="23.54296875" style="3" bestFit="1" customWidth="1"/>
    <col min="50" max="50" width="27.453125" style="3" bestFit="1" customWidth="1"/>
    <col min="51" max="51" width="22.453125" style="3" bestFit="1" customWidth="1"/>
    <col min="52" max="52" width="16.54296875" style="3" bestFit="1" customWidth="1"/>
    <col min="53" max="53" width="23.453125" style="3" bestFit="1" customWidth="1"/>
    <col min="54" max="54" width="34.54296875" style="3" bestFit="1" customWidth="1"/>
    <col min="55" max="55" width="24.26953125" style="3" bestFit="1" customWidth="1"/>
    <col min="56" max="56" width="39.54296875" style="3" bestFit="1" customWidth="1"/>
    <col min="57" max="57" width="35.453125" style="3" bestFit="1" customWidth="1"/>
    <col min="58" max="58" width="22.81640625" style="3" bestFit="1" customWidth="1"/>
    <col min="59" max="59" width="38.1796875" style="3" bestFit="1" customWidth="1"/>
    <col min="60" max="60" width="34.1796875" style="3" bestFit="1" customWidth="1"/>
    <col min="61" max="61" width="22.81640625" style="3" bestFit="1" customWidth="1"/>
    <col min="62" max="62" width="38.1796875" style="3" bestFit="1" customWidth="1"/>
    <col min="63" max="63" width="34.1796875" style="3" bestFit="1" customWidth="1"/>
    <col min="64" max="16384" width="8.7265625" style="3"/>
  </cols>
  <sheetData>
    <row r="1" spans="1:6" ht="27.65" customHeight="1" x14ac:dyDescent="0.35">
      <c r="A1" s="76" t="s">
        <v>52</v>
      </c>
      <c r="B1" s="74"/>
      <c r="C1" s="74"/>
      <c r="D1" s="74"/>
      <c r="E1" s="74"/>
      <c r="F1" s="74"/>
    </row>
    <row r="2" spans="1:6" ht="27.65" customHeight="1" x14ac:dyDescent="0.35">
      <c r="A2" s="77" t="s">
        <v>53</v>
      </c>
      <c r="B2" s="74"/>
      <c r="C2" s="74"/>
      <c r="D2" s="74"/>
      <c r="E2" s="74"/>
      <c r="F2" s="74"/>
    </row>
    <row r="3" spans="1:6" ht="27.65" customHeight="1" x14ac:dyDescent="0.35">
      <c r="A3" s="78" t="s">
        <v>54</v>
      </c>
      <c r="B3" s="74"/>
      <c r="C3" s="78" t="s">
        <v>55</v>
      </c>
      <c r="D3" s="74"/>
      <c r="E3" s="78" t="s">
        <v>56</v>
      </c>
      <c r="F3" s="74"/>
    </row>
    <row r="4" spans="1:6" x14ac:dyDescent="0.35">
      <c r="A4" s="6" t="s">
        <v>57</v>
      </c>
      <c r="B4" s="7"/>
      <c r="C4" s="6" t="s">
        <v>58</v>
      </c>
      <c r="D4" s="7" t="s">
        <v>59</v>
      </c>
      <c r="E4" s="6" t="s">
        <v>60</v>
      </c>
      <c r="F4" s="8">
        <v>46037.69494465278</v>
      </c>
    </row>
    <row r="5" spans="1:6" x14ac:dyDescent="0.35">
      <c r="A5" s="6" t="s">
        <v>61</v>
      </c>
      <c r="B5" s="7"/>
      <c r="C5" s="6" t="s">
        <v>62</v>
      </c>
      <c r="D5" s="14">
        <v>45658</v>
      </c>
      <c r="E5" s="6" t="s">
        <v>63</v>
      </c>
      <c r="F5" s="7" t="s">
        <v>64</v>
      </c>
    </row>
    <row r="6" spans="1:6" x14ac:dyDescent="0.35">
      <c r="A6" s="6" t="s">
        <v>65</v>
      </c>
      <c r="B6" s="7"/>
      <c r="C6" s="6" t="s">
        <v>66</v>
      </c>
      <c r="D6" s="14">
        <v>45688</v>
      </c>
      <c r="E6" s="6" t="s">
        <v>67</v>
      </c>
      <c r="F6" s="10">
        <v>10000127</v>
      </c>
    </row>
    <row r="7" spans="1:6" x14ac:dyDescent="0.35">
      <c r="A7" s="6" t="s">
        <v>68</v>
      </c>
      <c r="B7" s="7"/>
      <c r="C7" s="6" t="s">
        <v>69</v>
      </c>
      <c r="D7" s="7"/>
      <c r="E7" s="6" t="s">
        <v>70</v>
      </c>
      <c r="F7" s="11">
        <v>58</v>
      </c>
    </row>
    <row r="8" spans="1:6" x14ac:dyDescent="0.35">
      <c r="A8" s="6" t="s">
        <v>71</v>
      </c>
      <c r="B8" s="7"/>
      <c r="C8" s="6" t="s">
        <v>72</v>
      </c>
      <c r="D8" s="7" t="s">
        <v>73</v>
      </c>
    </row>
    <row r="9" spans="1:6" x14ac:dyDescent="0.35">
      <c r="A9" s="6" t="s">
        <v>74</v>
      </c>
      <c r="B9" s="7"/>
      <c r="C9" s="6" t="s">
        <v>75</v>
      </c>
      <c r="D9" s="7"/>
    </row>
    <row r="10" spans="1:6" x14ac:dyDescent="0.35">
      <c r="A10" s="6" t="s">
        <v>76</v>
      </c>
      <c r="B10" s="7"/>
      <c r="C10" s="6" t="s">
        <v>77</v>
      </c>
      <c r="D10" s="7" t="s">
        <v>78</v>
      </c>
    </row>
    <row r="11" spans="1:6" x14ac:dyDescent="0.35">
      <c r="A11" s="6" t="s">
        <v>79</v>
      </c>
      <c r="B11" s="7"/>
      <c r="C11" s="6" t="s">
        <v>80</v>
      </c>
      <c r="D11" s="7" t="s">
        <v>78</v>
      </c>
    </row>
    <row r="12" spans="1:6" x14ac:dyDescent="0.35">
      <c r="A12" s="6" t="s">
        <v>81</v>
      </c>
      <c r="B12" s="7"/>
      <c r="C12" s="6" t="s">
        <v>82</v>
      </c>
      <c r="D12" s="7"/>
    </row>
    <row r="13" spans="1:6" x14ac:dyDescent="0.35">
      <c r="A13" s="6" t="s">
        <v>83</v>
      </c>
      <c r="B13" s="7"/>
      <c r="C13" s="6" t="s">
        <v>84</v>
      </c>
      <c r="D13" s="7" t="s">
        <v>78</v>
      </c>
    </row>
    <row r="14" spans="1:6" x14ac:dyDescent="0.35">
      <c r="A14" s="6" t="s">
        <v>85</v>
      </c>
      <c r="B14" s="7"/>
      <c r="C14" s="6" t="s">
        <v>86</v>
      </c>
      <c r="D14" s="7" t="s">
        <v>78</v>
      </c>
    </row>
    <row r="15" spans="1:6" x14ac:dyDescent="0.35">
      <c r="A15" s="6" t="s">
        <v>87</v>
      </c>
      <c r="B15" s="7"/>
      <c r="C15" s="6" t="s">
        <v>88</v>
      </c>
      <c r="D15" s="7" t="s">
        <v>78</v>
      </c>
    </row>
    <row r="16" spans="1:6" x14ac:dyDescent="0.35">
      <c r="A16" s="6" t="s">
        <v>89</v>
      </c>
      <c r="B16" s="7"/>
      <c r="C16" s="6" t="s">
        <v>90</v>
      </c>
      <c r="D16" s="7" t="s">
        <v>78</v>
      </c>
    </row>
    <row r="17" spans="1:63" x14ac:dyDescent="0.35">
      <c r="A17" s="6" t="s">
        <v>91</v>
      </c>
      <c r="B17" s="7" t="s">
        <v>92</v>
      </c>
      <c r="C17" s="6" t="s">
        <v>93</v>
      </c>
      <c r="D17" s="7" t="s">
        <v>78</v>
      </c>
    </row>
    <row r="18" spans="1:63" x14ac:dyDescent="0.35">
      <c r="A18" s="6" t="s">
        <v>94</v>
      </c>
      <c r="B18" s="7" t="s">
        <v>95</v>
      </c>
    </row>
    <row r="19" spans="1:63" x14ac:dyDescent="0.35">
      <c r="A19" s="73" t="s">
        <v>96</v>
      </c>
      <c r="B19" s="75" t="s">
        <v>97</v>
      </c>
    </row>
    <row r="20" spans="1:63" x14ac:dyDescent="0.35">
      <c r="A20" s="74"/>
      <c r="B20" s="74"/>
    </row>
    <row r="21" spans="1:63" x14ac:dyDescent="0.35">
      <c r="A21" s="74"/>
      <c r="B21" s="74"/>
    </row>
    <row r="22" spans="1:63" x14ac:dyDescent="0.35">
      <c r="A22" s="74"/>
      <c r="B22" s="74"/>
    </row>
    <row r="23" spans="1:63" x14ac:dyDescent="0.35">
      <c r="A23" s="74"/>
      <c r="B23" s="74"/>
    </row>
    <row r="24" spans="1:63" x14ac:dyDescent="0.35">
      <c r="A24" s="74"/>
      <c r="B24" s="74"/>
    </row>
    <row r="27" spans="1:63" ht="27.65" customHeight="1" x14ac:dyDescent="0.35">
      <c r="A27" s="5" t="s">
        <v>65</v>
      </c>
      <c r="B27" s="5" t="s">
        <v>74</v>
      </c>
      <c r="C27" s="5" t="s">
        <v>76</v>
      </c>
      <c r="D27" s="5" t="s">
        <v>81</v>
      </c>
      <c r="E27" s="5" t="s">
        <v>98</v>
      </c>
      <c r="F27" s="5" t="s">
        <v>99</v>
      </c>
      <c r="G27" s="5" t="s">
        <v>100</v>
      </c>
      <c r="H27" s="5" t="s">
        <v>101</v>
      </c>
      <c r="I27" s="5" t="s">
        <v>102</v>
      </c>
      <c r="J27" s="5" t="s">
        <v>103</v>
      </c>
      <c r="K27" s="5" t="s">
        <v>104</v>
      </c>
      <c r="L27" s="5" t="s">
        <v>105</v>
      </c>
      <c r="M27" s="5" t="s">
        <v>106</v>
      </c>
      <c r="N27" s="5" t="s">
        <v>107</v>
      </c>
      <c r="O27" s="5" t="s">
        <v>108</v>
      </c>
      <c r="P27" s="5" t="s">
        <v>109</v>
      </c>
      <c r="Q27" s="5" t="s">
        <v>110</v>
      </c>
      <c r="R27" s="5" t="s">
        <v>111</v>
      </c>
      <c r="S27" s="5" t="s">
        <v>112</v>
      </c>
      <c r="T27" s="5" t="s">
        <v>95</v>
      </c>
      <c r="U27" s="5" t="s">
        <v>113</v>
      </c>
      <c r="V27" s="5" t="s">
        <v>114</v>
      </c>
      <c r="W27" s="5" t="s">
        <v>61</v>
      </c>
      <c r="X27" s="5" t="s">
        <v>79</v>
      </c>
      <c r="Y27" s="5" t="s">
        <v>69</v>
      </c>
      <c r="Z27" s="5" t="s">
        <v>115</v>
      </c>
      <c r="AA27" s="5" t="s">
        <v>116</v>
      </c>
      <c r="AB27" s="5" t="s">
        <v>117</v>
      </c>
      <c r="AC27" s="5" t="s">
        <v>118</v>
      </c>
      <c r="AD27" s="5" t="s">
        <v>119</v>
      </c>
      <c r="AE27" s="5" t="s">
        <v>120</v>
      </c>
      <c r="AF27" s="5" t="s">
        <v>121</v>
      </c>
      <c r="AG27" s="5" t="s">
        <v>122</v>
      </c>
      <c r="AH27" s="5" t="s">
        <v>123</v>
      </c>
      <c r="AI27" s="5" t="s">
        <v>124</v>
      </c>
      <c r="AJ27" s="5" t="s">
        <v>125</v>
      </c>
      <c r="AK27" s="5" t="s">
        <v>88</v>
      </c>
      <c r="AL27" s="5" t="s">
        <v>126</v>
      </c>
      <c r="AM27" s="5" t="s">
        <v>127</v>
      </c>
      <c r="AN27" s="5" t="s">
        <v>128</v>
      </c>
      <c r="AO27" s="5" t="s">
        <v>129</v>
      </c>
      <c r="AP27" s="5" t="s">
        <v>59</v>
      </c>
      <c r="AQ27" s="5" t="s">
        <v>130</v>
      </c>
      <c r="AR27" s="5" t="s">
        <v>131</v>
      </c>
      <c r="AS27" s="5" t="s">
        <v>132</v>
      </c>
      <c r="AT27" s="5" t="s">
        <v>133</v>
      </c>
      <c r="AU27" s="5" t="s">
        <v>134</v>
      </c>
      <c r="AV27" s="5" t="s">
        <v>135</v>
      </c>
      <c r="AW27" s="5" t="s">
        <v>136</v>
      </c>
      <c r="AX27" s="5" t="s">
        <v>137</v>
      </c>
      <c r="AY27" s="5" t="s">
        <v>138</v>
      </c>
      <c r="AZ27" s="5" t="s">
        <v>139</v>
      </c>
      <c r="BA27" s="5" t="s">
        <v>140</v>
      </c>
      <c r="BB27" s="5" t="s">
        <v>141</v>
      </c>
      <c r="BC27" s="5" t="s">
        <v>142</v>
      </c>
      <c r="BD27" s="5" t="s">
        <v>143</v>
      </c>
      <c r="BE27" s="5" t="s">
        <v>144</v>
      </c>
      <c r="BF27" s="5" t="s">
        <v>145</v>
      </c>
      <c r="BG27" s="5" t="s">
        <v>146</v>
      </c>
      <c r="BH27" s="5" t="s">
        <v>147</v>
      </c>
      <c r="BI27" s="5" t="s">
        <v>148</v>
      </c>
      <c r="BJ27" s="5" t="s">
        <v>149</v>
      </c>
      <c r="BK27" s="5" t="s">
        <v>150</v>
      </c>
    </row>
    <row r="28" spans="1:63" x14ac:dyDescent="0.35">
      <c r="A28" s="7" t="s">
        <v>151</v>
      </c>
      <c r="B28" s="7" t="s">
        <v>152</v>
      </c>
      <c r="C28" s="7" t="s">
        <v>153</v>
      </c>
      <c r="D28" s="7"/>
      <c r="E28" s="7"/>
      <c r="F28" s="7" t="s">
        <v>154</v>
      </c>
      <c r="G28" s="7"/>
      <c r="H28" s="7"/>
      <c r="I28" s="7"/>
      <c r="J28" s="7"/>
      <c r="K28" s="7"/>
      <c r="L28" s="7" t="s">
        <v>155</v>
      </c>
      <c r="M28" s="7"/>
      <c r="N28" s="7"/>
      <c r="O28" s="7" t="s">
        <v>156</v>
      </c>
      <c r="P28" s="7" t="s">
        <v>157</v>
      </c>
      <c r="Q28" s="7" t="s">
        <v>158</v>
      </c>
      <c r="R28" s="7" t="s">
        <v>159</v>
      </c>
      <c r="S28" s="7" t="s">
        <v>160</v>
      </c>
      <c r="T28" s="7" t="s">
        <v>161</v>
      </c>
      <c r="U28" s="7"/>
      <c r="V28" s="7" t="s">
        <v>162</v>
      </c>
      <c r="W28" s="7" t="s">
        <v>163</v>
      </c>
      <c r="X28" s="7" t="s">
        <v>164</v>
      </c>
      <c r="Y28" s="7" t="s">
        <v>165</v>
      </c>
      <c r="Z28" s="7" t="s">
        <v>166</v>
      </c>
      <c r="AA28" s="7" t="s">
        <v>167</v>
      </c>
      <c r="AB28" s="7" t="s">
        <v>168</v>
      </c>
      <c r="AC28" s="7" t="s">
        <v>169</v>
      </c>
      <c r="AD28" s="7"/>
      <c r="AE28" s="7"/>
      <c r="AF28" s="7"/>
      <c r="AG28" s="7"/>
      <c r="AH28" s="7"/>
      <c r="AI28" s="7" t="s">
        <v>170</v>
      </c>
      <c r="AJ28" s="7" t="s">
        <v>171</v>
      </c>
      <c r="AK28" s="7" t="s">
        <v>172</v>
      </c>
      <c r="AL28" s="7"/>
      <c r="AM28" s="10">
        <v>2025</v>
      </c>
      <c r="AN28" s="10">
        <v>1</v>
      </c>
      <c r="AO28" s="9">
        <v>45658</v>
      </c>
      <c r="AP28" s="9">
        <v>45658</v>
      </c>
      <c r="AQ28" s="9">
        <v>45658</v>
      </c>
      <c r="AR28" s="7" t="s">
        <v>173</v>
      </c>
      <c r="AS28" s="7"/>
      <c r="AT28" s="7" t="s">
        <v>174</v>
      </c>
      <c r="AU28" s="7" t="s">
        <v>175</v>
      </c>
      <c r="AV28" s="7"/>
      <c r="AW28" s="7"/>
      <c r="AX28" s="7"/>
      <c r="AY28" s="7" t="s">
        <v>176</v>
      </c>
      <c r="AZ28" s="7" t="s">
        <v>177</v>
      </c>
      <c r="BA28" s="7" t="s">
        <v>9</v>
      </c>
      <c r="BB28" s="12">
        <v>-189810.28</v>
      </c>
      <c r="BC28" s="7" t="s">
        <v>12</v>
      </c>
      <c r="BD28" s="13">
        <v>1.54</v>
      </c>
      <c r="BE28" s="12">
        <v>-292307.83</v>
      </c>
      <c r="BF28" s="7" t="s">
        <v>178</v>
      </c>
      <c r="BG28" s="13">
        <v>2.85</v>
      </c>
      <c r="BH28" s="12">
        <v>-833077.32</v>
      </c>
      <c r="BI28" s="7"/>
      <c r="BJ28" s="13"/>
      <c r="BK28" s="12"/>
    </row>
    <row r="29" spans="1:63" x14ac:dyDescent="0.35">
      <c r="A29" s="7" t="s">
        <v>151</v>
      </c>
      <c r="B29" s="7" t="s">
        <v>152</v>
      </c>
      <c r="C29" s="7" t="s">
        <v>153</v>
      </c>
      <c r="D29" s="7"/>
      <c r="E29" s="7"/>
      <c r="F29" s="7" t="s">
        <v>154</v>
      </c>
      <c r="G29" s="7"/>
      <c r="H29" s="7"/>
      <c r="I29" s="7"/>
      <c r="J29" s="7"/>
      <c r="K29" s="7"/>
      <c r="L29" s="7" t="s">
        <v>155</v>
      </c>
      <c r="M29" s="7"/>
      <c r="N29" s="7"/>
      <c r="O29" s="7" t="s">
        <v>156</v>
      </c>
      <c r="P29" s="7" t="s">
        <v>157</v>
      </c>
      <c r="Q29" s="7" t="s">
        <v>158</v>
      </c>
      <c r="R29" s="7" t="s">
        <v>159</v>
      </c>
      <c r="S29" s="7" t="s">
        <v>160</v>
      </c>
      <c r="T29" s="7" t="s">
        <v>161</v>
      </c>
      <c r="U29" s="7"/>
      <c r="V29" s="7" t="s">
        <v>162</v>
      </c>
      <c r="W29" s="7" t="s">
        <v>163</v>
      </c>
      <c r="X29" s="7" t="s">
        <v>164</v>
      </c>
      <c r="Y29" s="7" t="s">
        <v>165</v>
      </c>
      <c r="Z29" s="7" t="s">
        <v>166</v>
      </c>
      <c r="AA29" s="7" t="s">
        <v>167</v>
      </c>
      <c r="AB29" s="7" t="s">
        <v>168</v>
      </c>
      <c r="AC29" s="7" t="s">
        <v>169</v>
      </c>
      <c r="AD29" s="7"/>
      <c r="AE29" s="7"/>
      <c r="AF29" s="7"/>
      <c r="AG29" s="7"/>
      <c r="AH29" s="7"/>
      <c r="AI29" s="7" t="s">
        <v>170</v>
      </c>
      <c r="AJ29" s="7" t="s">
        <v>171</v>
      </c>
      <c r="AK29" s="7" t="s">
        <v>172</v>
      </c>
      <c r="AL29" s="7"/>
      <c r="AM29" s="10">
        <v>2025</v>
      </c>
      <c r="AN29" s="10">
        <v>1</v>
      </c>
      <c r="AO29" s="9">
        <v>45658</v>
      </c>
      <c r="AP29" s="9">
        <v>45658</v>
      </c>
      <c r="AQ29" s="9">
        <v>45658</v>
      </c>
      <c r="AR29" s="7" t="s">
        <v>173</v>
      </c>
      <c r="AS29" s="7"/>
      <c r="AT29" s="7" t="s">
        <v>179</v>
      </c>
      <c r="AU29" s="7" t="s">
        <v>180</v>
      </c>
      <c r="AV29" s="7"/>
      <c r="AW29" s="7"/>
      <c r="AX29" s="7"/>
      <c r="AY29" s="7" t="s">
        <v>181</v>
      </c>
      <c r="AZ29" s="7" t="s">
        <v>177</v>
      </c>
      <c r="BA29" s="7" t="s">
        <v>9</v>
      </c>
      <c r="BB29" s="12">
        <v>189810.28</v>
      </c>
      <c r="BC29" s="7" t="s">
        <v>12</v>
      </c>
      <c r="BD29" s="13">
        <v>1.54</v>
      </c>
      <c r="BE29" s="12">
        <v>292307.83</v>
      </c>
      <c r="BF29" s="7" t="s">
        <v>178</v>
      </c>
      <c r="BG29" s="13">
        <v>2.85</v>
      </c>
      <c r="BH29" s="12">
        <v>833077.32</v>
      </c>
      <c r="BI29" s="7"/>
      <c r="BJ29" s="13"/>
      <c r="BK29" s="12"/>
    </row>
    <row r="30" spans="1:63" x14ac:dyDescent="0.35">
      <c r="A30" s="7" t="s">
        <v>151</v>
      </c>
      <c r="B30" s="7" t="s">
        <v>152</v>
      </c>
      <c r="C30" s="7" t="s">
        <v>153</v>
      </c>
      <c r="D30" s="7"/>
      <c r="E30" s="7"/>
      <c r="F30" s="7" t="s">
        <v>154</v>
      </c>
      <c r="G30" s="7"/>
      <c r="H30" s="7"/>
      <c r="I30" s="7"/>
      <c r="J30" s="7"/>
      <c r="K30" s="7"/>
      <c r="L30" s="7" t="s">
        <v>155</v>
      </c>
      <c r="M30" s="7"/>
      <c r="N30" s="7"/>
      <c r="O30" s="7" t="s">
        <v>182</v>
      </c>
      <c r="P30" s="7" t="s">
        <v>183</v>
      </c>
      <c r="Q30" s="7" t="s">
        <v>158</v>
      </c>
      <c r="R30" s="7" t="s">
        <v>159</v>
      </c>
      <c r="S30" s="7" t="s">
        <v>160</v>
      </c>
      <c r="T30" s="7" t="s">
        <v>161</v>
      </c>
      <c r="U30" s="7"/>
      <c r="V30" s="7" t="s">
        <v>162</v>
      </c>
      <c r="W30" s="7" t="s">
        <v>163</v>
      </c>
      <c r="X30" s="7" t="s">
        <v>164</v>
      </c>
      <c r="Y30" s="7" t="s">
        <v>165</v>
      </c>
      <c r="Z30" s="7" t="s">
        <v>166</v>
      </c>
      <c r="AA30" s="7" t="s">
        <v>167</v>
      </c>
      <c r="AB30" s="7" t="s">
        <v>168</v>
      </c>
      <c r="AC30" s="7" t="s">
        <v>184</v>
      </c>
      <c r="AD30" s="7"/>
      <c r="AE30" s="7"/>
      <c r="AF30" s="7"/>
      <c r="AG30" s="7"/>
      <c r="AH30" s="7"/>
      <c r="AI30" s="7" t="s">
        <v>170</v>
      </c>
      <c r="AJ30" s="7" t="s">
        <v>171</v>
      </c>
      <c r="AK30" s="7" t="s">
        <v>172</v>
      </c>
      <c r="AL30" s="7"/>
      <c r="AM30" s="10">
        <v>2025</v>
      </c>
      <c r="AN30" s="10">
        <v>1</v>
      </c>
      <c r="AO30" s="9">
        <v>45658</v>
      </c>
      <c r="AP30" s="9">
        <v>45658</v>
      </c>
      <c r="AQ30" s="9">
        <v>45658</v>
      </c>
      <c r="AR30" s="7" t="s">
        <v>173</v>
      </c>
      <c r="AS30" s="7"/>
      <c r="AT30" s="7" t="s">
        <v>185</v>
      </c>
      <c r="AU30" s="7" t="s">
        <v>186</v>
      </c>
      <c r="AV30" s="7"/>
      <c r="AW30" s="7"/>
      <c r="AX30" s="7"/>
      <c r="AY30" s="7" t="s">
        <v>181</v>
      </c>
      <c r="AZ30" s="7" t="s">
        <v>177</v>
      </c>
      <c r="BA30" s="7" t="s">
        <v>9</v>
      </c>
      <c r="BB30" s="12">
        <v>189810.28</v>
      </c>
      <c r="BC30" s="7" t="s">
        <v>12</v>
      </c>
      <c r="BD30" s="13">
        <v>1.54</v>
      </c>
      <c r="BE30" s="12">
        <v>292307.83</v>
      </c>
      <c r="BF30" s="7" t="s">
        <v>178</v>
      </c>
      <c r="BG30" s="13">
        <v>2.85</v>
      </c>
      <c r="BH30" s="12">
        <v>833077.32</v>
      </c>
      <c r="BI30" s="7"/>
      <c r="BJ30" s="13"/>
      <c r="BK30" s="12"/>
    </row>
    <row r="31" spans="1:63" x14ac:dyDescent="0.35">
      <c r="A31" s="7" t="s">
        <v>151</v>
      </c>
      <c r="B31" s="7" t="s">
        <v>152</v>
      </c>
      <c r="C31" s="7" t="s">
        <v>153</v>
      </c>
      <c r="D31" s="7"/>
      <c r="E31" s="7"/>
      <c r="F31" s="7" t="s">
        <v>154</v>
      </c>
      <c r="G31" s="7"/>
      <c r="H31" s="7"/>
      <c r="I31" s="7"/>
      <c r="J31" s="7"/>
      <c r="K31" s="7"/>
      <c r="L31" s="7" t="s">
        <v>155</v>
      </c>
      <c r="M31" s="7"/>
      <c r="N31" s="7"/>
      <c r="O31" s="7" t="s">
        <v>182</v>
      </c>
      <c r="P31" s="7" t="s">
        <v>183</v>
      </c>
      <c r="Q31" s="7" t="s">
        <v>158</v>
      </c>
      <c r="R31" s="7" t="s">
        <v>159</v>
      </c>
      <c r="S31" s="7" t="s">
        <v>160</v>
      </c>
      <c r="T31" s="7" t="s">
        <v>161</v>
      </c>
      <c r="U31" s="7"/>
      <c r="V31" s="7" t="s">
        <v>162</v>
      </c>
      <c r="W31" s="7" t="s">
        <v>163</v>
      </c>
      <c r="X31" s="7" t="s">
        <v>164</v>
      </c>
      <c r="Y31" s="7" t="s">
        <v>165</v>
      </c>
      <c r="Z31" s="7" t="s">
        <v>166</v>
      </c>
      <c r="AA31" s="7" t="s">
        <v>167</v>
      </c>
      <c r="AB31" s="7" t="s">
        <v>168</v>
      </c>
      <c r="AC31" s="7" t="s">
        <v>184</v>
      </c>
      <c r="AD31" s="7"/>
      <c r="AE31" s="7"/>
      <c r="AF31" s="7"/>
      <c r="AG31" s="7"/>
      <c r="AH31" s="7"/>
      <c r="AI31" s="7" t="s">
        <v>170</v>
      </c>
      <c r="AJ31" s="7" t="s">
        <v>171</v>
      </c>
      <c r="AK31" s="7" t="s">
        <v>172</v>
      </c>
      <c r="AL31" s="7"/>
      <c r="AM31" s="10">
        <v>2025</v>
      </c>
      <c r="AN31" s="10">
        <v>1</v>
      </c>
      <c r="AO31" s="9">
        <v>45658</v>
      </c>
      <c r="AP31" s="9">
        <v>45658</v>
      </c>
      <c r="AQ31" s="9">
        <v>45658</v>
      </c>
      <c r="AR31" s="7" t="s">
        <v>173</v>
      </c>
      <c r="AS31" s="7"/>
      <c r="AT31" s="7" t="s">
        <v>179</v>
      </c>
      <c r="AU31" s="7" t="s">
        <v>180</v>
      </c>
      <c r="AV31" s="7"/>
      <c r="AW31" s="7"/>
      <c r="AX31" s="7"/>
      <c r="AY31" s="7" t="s">
        <v>176</v>
      </c>
      <c r="AZ31" s="7" t="s">
        <v>177</v>
      </c>
      <c r="BA31" s="7" t="s">
        <v>9</v>
      </c>
      <c r="BB31" s="12">
        <v>-189810.28</v>
      </c>
      <c r="BC31" s="7" t="s">
        <v>12</v>
      </c>
      <c r="BD31" s="13">
        <v>1.54</v>
      </c>
      <c r="BE31" s="12">
        <v>-292307.83</v>
      </c>
      <c r="BF31" s="7" t="s">
        <v>178</v>
      </c>
      <c r="BG31" s="13">
        <v>2.85</v>
      </c>
      <c r="BH31" s="12">
        <v>-833077.32</v>
      </c>
      <c r="BI31" s="7"/>
      <c r="BJ31" s="13"/>
      <c r="BK31" s="12"/>
    </row>
    <row r="32" spans="1:63" x14ac:dyDescent="0.35">
      <c r="A32" s="7" t="s">
        <v>151</v>
      </c>
      <c r="B32" s="7" t="s">
        <v>152</v>
      </c>
      <c r="C32" s="7" t="s">
        <v>153</v>
      </c>
      <c r="D32" s="7"/>
      <c r="E32" s="7"/>
      <c r="F32" s="7" t="s">
        <v>154</v>
      </c>
      <c r="G32" s="7"/>
      <c r="H32" s="7"/>
      <c r="I32" s="7"/>
      <c r="J32" s="7"/>
      <c r="K32" s="7"/>
      <c r="L32" s="7" t="s">
        <v>155</v>
      </c>
      <c r="M32" s="7"/>
      <c r="N32" s="7"/>
      <c r="O32" s="7" t="s">
        <v>156</v>
      </c>
      <c r="P32" s="7" t="s">
        <v>157</v>
      </c>
      <c r="Q32" s="7" t="s">
        <v>158</v>
      </c>
      <c r="R32" s="7" t="s">
        <v>159</v>
      </c>
      <c r="S32" s="7" t="s">
        <v>160</v>
      </c>
      <c r="T32" s="7" t="s">
        <v>161</v>
      </c>
      <c r="U32" s="7"/>
      <c r="V32" s="7" t="s">
        <v>162</v>
      </c>
      <c r="W32" s="7" t="s">
        <v>163</v>
      </c>
      <c r="X32" s="7" t="s">
        <v>164</v>
      </c>
      <c r="Y32" s="7" t="s">
        <v>187</v>
      </c>
      <c r="Z32" s="7" t="s">
        <v>188</v>
      </c>
      <c r="AA32" s="7" t="s">
        <v>167</v>
      </c>
      <c r="AB32" s="7" t="s">
        <v>168</v>
      </c>
      <c r="AC32" s="7" t="s">
        <v>189</v>
      </c>
      <c r="AD32" s="7"/>
      <c r="AE32" s="7"/>
      <c r="AF32" s="7"/>
      <c r="AG32" s="7"/>
      <c r="AH32" s="7"/>
      <c r="AI32" s="7" t="s">
        <v>170</v>
      </c>
      <c r="AJ32" s="7" t="s">
        <v>171</v>
      </c>
      <c r="AK32" s="7" t="s">
        <v>172</v>
      </c>
      <c r="AL32" s="7"/>
      <c r="AM32" s="10">
        <v>2025</v>
      </c>
      <c r="AN32" s="10">
        <v>1</v>
      </c>
      <c r="AO32" s="9">
        <v>45658</v>
      </c>
      <c r="AP32" s="9">
        <v>45658</v>
      </c>
      <c r="AQ32" s="9">
        <v>45658</v>
      </c>
      <c r="AR32" s="7" t="s">
        <v>173</v>
      </c>
      <c r="AS32" s="7"/>
      <c r="AT32" s="7" t="s">
        <v>174</v>
      </c>
      <c r="AU32" s="7" t="s">
        <v>175</v>
      </c>
      <c r="AV32" s="7"/>
      <c r="AW32" s="7"/>
      <c r="AX32" s="7"/>
      <c r="AY32" s="7" t="s">
        <v>176</v>
      </c>
      <c r="AZ32" s="7" t="s">
        <v>177</v>
      </c>
      <c r="BA32" s="7" t="s">
        <v>9</v>
      </c>
      <c r="BB32" s="12">
        <v>-189810.28</v>
      </c>
      <c r="BC32" s="7" t="s">
        <v>12</v>
      </c>
      <c r="BD32" s="13">
        <v>1.54</v>
      </c>
      <c r="BE32" s="12">
        <v>-292307.83</v>
      </c>
      <c r="BF32" s="7" t="s">
        <v>178</v>
      </c>
      <c r="BG32" s="13">
        <v>2.85</v>
      </c>
      <c r="BH32" s="12">
        <v>-833077.32</v>
      </c>
      <c r="BI32" s="7"/>
      <c r="BJ32" s="13"/>
      <c r="BK32" s="12"/>
    </row>
    <row r="33" spans="1:63" x14ac:dyDescent="0.35">
      <c r="A33" s="7" t="s">
        <v>151</v>
      </c>
      <c r="B33" s="7" t="s">
        <v>152</v>
      </c>
      <c r="C33" s="7" t="s">
        <v>153</v>
      </c>
      <c r="D33" s="7"/>
      <c r="E33" s="7"/>
      <c r="F33" s="7" t="s">
        <v>154</v>
      </c>
      <c r="G33" s="7"/>
      <c r="H33" s="7"/>
      <c r="I33" s="7"/>
      <c r="J33" s="7"/>
      <c r="K33" s="7"/>
      <c r="L33" s="7" t="s">
        <v>155</v>
      </c>
      <c r="M33" s="7"/>
      <c r="N33" s="7"/>
      <c r="O33" s="7" t="s">
        <v>156</v>
      </c>
      <c r="P33" s="7" t="s">
        <v>157</v>
      </c>
      <c r="Q33" s="7" t="s">
        <v>158</v>
      </c>
      <c r="R33" s="7" t="s">
        <v>159</v>
      </c>
      <c r="S33" s="7" t="s">
        <v>160</v>
      </c>
      <c r="T33" s="7" t="s">
        <v>161</v>
      </c>
      <c r="U33" s="7"/>
      <c r="V33" s="7" t="s">
        <v>162</v>
      </c>
      <c r="W33" s="7" t="s">
        <v>163</v>
      </c>
      <c r="X33" s="7" t="s">
        <v>164</v>
      </c>
      <c r="Y33" s="7" t="s">
        <v>187</v>
      </c>
      <c r="Z33" s="7" t="s">
        <v>188</v>
      </c>
      <c r="AA33" s="7" t="s">
        <v>167</v>
      </c>
      <c r="AB33" s="7" t="s">
        <v>168</v>
      </c>
      <c r="AC33" s="7" t="s">
        <v>189</v>
      </c>
      <c r="AD33" s="7"/>
      <c r="AE33" s="7"/>
      <c r="AF33" s="7"/>
      <c r="AG33" s="7"/>
      <c r="AH33" s="7"/>
      <c r="AI33" s="7" t="s">
        <v>170</v>
      </c>
      <c r="AJ33" s="7" t="s">
        <v>171</v>
      </c>
      <c r="AK33" s="7" t="s">
        <v>172</v>
      </c>
      <c r="AL33" s="7"/>
      <c r="AM33" s="10">
        <v>2025</v>
      </c>
      <c r="AN33" s="10">
        <v>1</v>
      </c>
      <c r="AO33" s="9">
        <v>45658</v>
      </c>
      <c r="AP33" s="9">
        <v>45658</v>
      </c>
      <c r="AQ33" s="9">
        <v>45658</v>
      </c>
      <c r="AR33" s="7" t="s">
        <v>173</v>
      </c>
      <c r="AS33" s="7"/>
      <c r="AT33" s="7" t="s">
        <v>179</v>
      </c>
      <c r="AU33" s="7" t="s">
        <v>180</v>
      </c>
      <c r="AV33" s="7"/>
      <c r="AW33" s="7"/>
      <c r="AX33" s="7"/>
      <c r="AY33" s="7" t="s">
        <v>181</v>
      </c>
      <c r="AZ33" s="7" t="s">
        <v>177</v>
      </c>
      <c r="BA33" s="7" t="s">
        <v>9</v>
      </c>
      <c r="BB33" s="12">
        <v>189810.28</v>
      </c>
      <c r="BC33" s="7" t="s">
        <v>12</v>
      </c>
      <c r="BD33" s="13">
        <v>1.54</v>
      </c>
      <c r="BE33" s="12">
        <v>292307.83</v>
      </c>
      <c r="BF33" s="7" t="s">
        <v>178</v>
      </c>
      <c r="BG33" s="13">
        <v>2.85</v>
      </c>
      <c r="BH33" s="12">
        <v>833077.32</v>
      </c>
      <c r="BI33" s="7"/>
      <c r="BJ33" s="13"/>
      <c r="BK33" s="12"/>
    </row>
    <row r="34" spans="1:63" x14ac:dyDescent="0.35">
      <c r="A34" s="7" t="s">
        <v>151</v>
      </c>
      <c r="B34" s="7" t="s">
        <v>152</v>
      </c>
      <c r="C34" s="7" t="s">
        <v>153</v>
      </c>
      <c r="D34" s="7"/>
      <c r="E34" s="7"/>
      <c r="F34" s="7" t="s">
        <v>154</v>
      </c>
      <c r="G34" s="7"/>
      <c r="H34" s="7"/>
      <c r="I34" s="7"/>
      <c r="J34" s="7"/>
      <c r="K34" s="7"/>
      <c r="L34" s="7" t="s">
        <v>155</v>
      </c>
      <c r="M34" s="7"/>
      <c r="N34" s="7"/>
      <c r="O34" s="7" t="s">
        <v>182</v>
      </c>
      <c r="P34" s="7" t="s">
        <v>183</v>
      </c>
      <c r="Q34" s="7" t="s">
        <v>158</v>
      </c>
      <c r="R34" s="7" t="s">
        <v>159</v>
      </c>
      <c r="S34" s="7" t="s">
        <v>160</v>
      </c>
      <c r="T34" s="7" t="s">
        <v>161</v>
      </c>
      <c r="U34" s="7"/>
      <c r="V34" s="7" t="s">
        <v>162</v>
      </c>
      <c r="W34" s="7" t="s">
        <v>163</v>
      </c>
      <c r="X34" s="7" t="s">
        <v>164</v>
      </c>
      <c r="Y34" s="7" t="s">
        <v>187</v>
      </c>
      <c r="Z34" s="7" t="s">
        <v>188</v>
      </c>
      <c r="AA34" s="7" t="s">
        <v>167</v>
      </c>
      <c r="AB34" s="7" t="s">
        <v>168</v>
      </c>
      <c r="AC34" s="7" t="s">
        <v>190</v>
      </c>
      <c r="AD34" s="7"/>
      <c r="AE34" s="7"/>
      <c r="AF34" s="7"/>
      <c r="AG34" s="7"/>
      <c r="AH34" s="7"/>
      <c r="AI34" s="7" t="s">
        <v>170</v>
      </c>
      <c r="AJ34" s="7" t="s">
        <v>171</v>
      </c>
      <c r="AK34" s="7" t="s">
        <v>172</v>
      </c>
      <c r="AL34" s="7"/>
      <c r="AM34" s="10">
        <v>2025</v>
      </c>
      <c r="AN34" s="10">
        <v>1</v>
      </c>
      <c r="AO34" s="9">
        <v>45658</v>
      </c>
      <c r="AP34" s="9">
        <v>45658</v>
      </c>
      <c r="AQ34" s="9">
        <v>45658</v>
      </c>
      <c r="AR34" s="7" t="s">
        <v>173</v>
      </c>
      <c r="AS34" s="7"/>
      <c r="AT34" s="7" t="s">
        <v>185</v>
      </c>
      <c r="AU34" s="7" t="s">
        <v>186</v>
      </c>
      <c r="AV34" s="7"/>
      <c r="AW34" s="7"/>
      <c r="AX34" s="7"/>
      <c r="AY34" s="7" t="s">
        <v>181</v>
      </c>
      <c r="AZ34" s="7" t="s">
        <v>177</v>
      </c>
      <c r="BA34" s="7" t="s">
        <v>9</v>
      </c>
      <c r="BB34" s="12">
        <v>189810.28</v>
      </c>
      <c r="BC34" s="7" t="s">
        <v>12</v>
      </c>
      <c r="BD34" s="13">
        <v>1.54</v>
      </c>
      <c r="BE34" s="12">
        <v>292307.83</v>
      </c>
      <c r="BF34" s="7" t="s">
        <v>178</v>
      </c>
      <c r="BG34" s="13">
        <v>2.85</v>
      </c>
      <c r="BH34" s="12">
        <v>833077.32</v>
      </c>
      <c r="BI34" s="7"/>
      <c r="BJ34" s="13"/>
      <c r="BK34" s="12"/>
    </row>
    <row r="35" spans="1:63" x14ac:dyDescent="0.35">
      <c r="A35" s="7" t="s">
        <v>151</v>
      </c>
      <c r="B35" s="7" t="s">
        <v>152</v>
      </c>
      <c r="C35" s="7" t="s">
        <v>153</v>
      </c>
      <c r="D35" s="7"/>
      <c r="E35" s="7"/>
      <c r="F35" s="7" t="s">
        <v>154</v>
      </c>
      <c r="G35" s="7"/>
      <c r="H35" s="7"/>
      <c r="I35" s="7"/>
      <c r="J35" s="7"/>
      <c r="K35" s="7"/>
      <c r="L35" s="7" t="s">
        <v>155</v>
      </c>
      <c r="M35" s="7"/>
      <c r="N35" s="7"/>
      <c r="O35" s="7" t="s">
        <v>182</v>
      </c>
      <c r="P35" s="7" t="s">
        <v>183</v>
      </c>
      <c r="Q35" s="7" t="s">
        <v>158</v>
      </c>
      <c r="R35" s="7" t="s">
        <v>159</v>
      </c>
      <c r="S35" s="7" t="s">
        <v>160</v>
      </c>
      <c r="T35" s="7" t="s">
        <v>161</v>
      </c>
      <c r="U35" s="7"/>
      <c r="V35" s="7" t="s">
        <v>162</v>
      </c>
      <c r="W35" s="7" t="s">
        <v>163</v>
      </c>
      <c r="X35" s="7" t="s">
        <v>164</v>
      </c>
      <c r="Y35" s="7" t="s">
        <v>187</v>
      </c>
      <c r="Z35" s="7" t="s">
        <v>188</v>
      </c>
      <c r="AA35" s="7" t="s">
        <v>167</v>
      </c>
      <c r="AB35" s="7" t="s">
        <v>168</v>
      </c>
      <c r="AC35" s="7" t="s">
        <v>190</v>
      </c>
      <c r="AD35" s="7"/>
      <c r="AE35" s="7"/>
      <c r="AF35" s="7"/>
      <c r="AG35" s="7"/>
      <c r="AH35" s="7"/>
      <c r="AI35" s="7" t="s">
        <v>170</v>
      </c>
      <c r="AJ35" s="7" t="s">
        <v>171</v>
      </c>
      <c r="AK35" s="7" t="s">
        <v>172</v>
      </c>
      <c r="AL35" s="7"/>
      <c r="AM35" s="10">
        <v>2025</v>
      </c>
      <c r="AN35" s="10">
        <v>1</v>
      </c>
      <c r="AO35" s="9">
        <v>45658</v>
      </c>
      <c r="AP35" s="9">
        <v>45658</v>
      </c>
      <c r="AQ35" s="9">
        <v>45658</v>
      </c>
      <c r="AR35" s="7" t="s">
        <v>173</v>
      </c>
      <c r="AS35" s="7"/>
      <c r="AT35" s="7" t="s">
        <v>179</v>
      </c>
      <c r="AU35" s="7" t="s">
        <v>180</v>
      </c>
      <c r="AV35" s="7"/>
      <c r="AW35" s="7"/>
      <c r="AX35" s="7"/>
      <c r="AY35" s="7" t="s">
        <v>176</v>
      </c>
      <c r="AZ35" s="7" t="s">
        <v>177</v>
      </c>
      <c r="BA35" s="7" t="s">
        <v>9</v>
      </c>
      <c r="BB35" s="12">
        <v>-189810.28</v>
      </c>
      <c r="BC35" s="7" t="s">
        <v>12</v>
      </c>
      <c r="BD35" s="13">
        <v>1.54</v>
      </c>
      <c r="BE35" s="12">
        <v>-292307.83</v>
      </c>
      <c r="BF35" s="7" t="s">
        <v>178</v>
      </c>
      <c r="BG35" s="13">
        <v>2.85</v>
      </c>
      <c r="BH35" s="12">
        <v>-833077.32</v>
      </c>
      <c r="BI35" s="7"/>
      <c r="BJ35" s="13"/>
      <c r="BK35" s="12"/>
    </row>
    <row r="36" spans="1:63" x14ac:dyDescent="0.35">
      <c r="A36" s="7" t="s">
        <v>151</v>
      </c>
      <c r="B36" s="7" t="s">
        <v>152</v>
      </c>
      <c r="C36" s="7" t="s">
        <v>153</v>
      </c>
      <c r="D36" s="7"/>
      <c r="E36" s="7"/>
      <c r="F36" s="7" t="s">
        <v>154</v>
      </c>
      <c r="G36" s="7"/>
      <c r="H36" s="7"/>
      <c r="I36" s="7"/>
      <c r="J36" s="7"/>
      <c r="K36" s="7"/>
      <c r="L36" s="7" t="s">
        <v>155</v>
      </c>
      <c r="M36" s="7"/>
      <c r="N36" s="7"/>
      <c r="O36" s="7" t="s">
        <v>191</v>
      </c>
      <c r="P36" s="7" t="s">
        <v>192</v>
      </c>
      <c r="Q36" s="7" t="s">
        <v>158</v>
      </c>
      <c r="R36" s="7" t="s">
        <v>159</v>
      </c>
      <c r="S36" s="7" t="s">
        <v>160</v>
      </c>
      <c r="T36" s="7" t="s">
        <v>161</v>
      </c>
      <c r="U36" s="7"/>
      <c r="V36" s="7" t="s">
        <v>162</v>
      </c>
      <c r="W36" s="7" t="s">
        <v>163</v>
      </c>
      <c r="X36" s="7" t="s">
        <v>164</v>
      </c>
      <c r="Y36" s="7" t="s">
        <v>165</v>
      </c>
      <c r="Z36" s="7" t="s">
        <v>166</v>
      </c>
      <c r="AA36" s="7" t="s">
        <v>167</v>
      </c>
      <c r="AB36" s="7" t="s">
        <v>168</v>
      </c>
      <c r="AC36" s="7" t="s">
        <v>193</v>
      </c>
      <c r="AD36" s="7"/>
      <c r="AE36" s="7"/>
      <c r="AF36" s="7"/>
      <c r="AG36" s="7"/>
      <c r="AH36" s="7"/>
      <c r="AI36" s="7" t="s">
        <v>170</v>
      </c>
      <c r="AJ36" s="7" t="s">
        <v>171</v>
      </c>
      <c r="AK36" s="7" t="s">
        <v>172</v>
      </c>
      <c r="AL36" s="7"/>
      <c r="AM36" s="10">
        <v>2025</v>
      </c>
      <c r="AN36" s="10">
        <v>1</v>
      </c>
      <c r="AO36" s="9">
        <v>45658</v>
      </c>
      <c r="AP36" s="9">
        <v>45658</v>
      </c>
      <c r="AQ36" s="9">
        <v>45658</v>
      </c>
      <c r="AR36" s="7" t="s">
        <v>194</v>
      </c>
      <c r="AS36" s="7"/>
      <c r="AT36" s="7" t="s">
        <v>195</v>
      </c>
      <c r="AU36" s="7" t="s">
        <v>196</v>
      </c>
      <c r="AV36" s="7"/>
      <c r="AW36" s="7"/>
      <c r="AX36" s="7"/>
      <c r="AY36" s="7" t="s">
        <v>176</v>
      </c>
      <c r="AZ36" s="7" t="s">
        <v>191</v>
      </c>
      <c r="BA36" s="7" t="s">
        <v>9</v>
      </c>
      <c r="BB36" s="12">
        <v>-8000</v>
      </c>
      <c r="BC36" s="7" t="s">
        <v>12</v>
      </c>
      <c r="BD36" s="13">
        <v>1.54</v>
      </c>
      <c r="BE36" s="12">
        <v>-12320</v>
      </c>
      <c r="BF36" s="7" t="s">
        <v>178</v>
      </c>
      <c r="BG36" s="13">
        <v>2.85</v>
      </c>
      <c r="BH36" s="12">
        <v>-35112</v>
      </c>
      <c r="BI36" s="7"/>
      <c r="BJ36" s="13"/>
      <c r="BK36" s="12"/>
    </row>
    <row r="37" spans="1:63" x14ac:dyDescent="0.35">
      <c r="A37" s="7" t="s">
        <v>151</v>
      </c>
      <c r="B37" s="7" t="s">
        <v>152</v>
      </c>
      <c r="C37" s="7" t="s">
        <v>153</v>
      </c>
      <c r="D37" s="7"/>
      <c r="E37" s="7"/>
      <c r="F37" s="7" t="s">
        <v>154</v>
      </c>
      <c r="G37" s="7"/>
      <c r="H37" s="7"/>
      <c r="I37" s="7"/>
      <c r="J37" s="7"/>
      <c r="K37" s="7"/>
      <c r="L37" s="7" t="s">
        <v>155</v>
      </c>
      <c r="M37" s="7"/>
      <c r="N37" s="7"/>
      <c r="O37" s="7" t="s">
        <v>191</v>
      </c>
      <c r="P37" s="7" t="s">
        <v>192</v>
      </c>
      <c r="Q37" s="7" t="s">
        <v>158</v>
      </c>
      <c r="R37" s="7" t="s">
        <v>159</v>
      </c>
      <c r="S37" s="7" t="s">
        <v>160</v>
      </c>
      <c r="T37" s="7" t="s">
        <v>161</v>
      </c>
      <c r="U37" s="7"/>
      <c r="V37" s="7" t="s">
        <v>162</v>
      </c>
      <c r="W37" s="7" t="s">
        <v>163</v>
      </c>
      <c r="X37" s="7" t="s">
        <v>164</v>
      </c>
      <c r="Y37" s="7" t="s">
        <v>165</v>
      </c>
      <c r="Z37" s="7" t="s">
        <v>166</v>
      </c>
      <c r="AA37" s="7" t="s">
        <v>167</v>
      </c>
      <c r="AB37" s="7" t="s">
        <v>168</v>
      </c>
      <c r="AC37" s="7" t="s">
        <v>193</v>
      </c>
      <c r="AD37" s="7"/>
      <c r="AE37" s="7"/>
      <c r="AF37" s="7"/>
      <c r="AG37" s="7"/>
      <c r="AH37" s="7"/>
      <c r="AI37" s="7" t="s">
        <v>170</v>
      </c>
      <c r="AJ37" s="7" t="s">
        <v>171</v>
      </c>
      <c r="AK37" s="7" t="s">
        <v>172</v>
      </c>
      <c r="AL37" s="7"/>
      <c r="AM37" s="10">
        <v>2025</v>
      </c>
      <c r="AN37" s="10">
        <v>1</v>
      </c>
      <c r="AO37" s="9">
        <v>45658</v>
      </c>
      <c r="AP37" s="9">
        <v>45658</v>
      </c>
      <c r="AQ37" s="9">
        <v>45658</v>
      </c>
      <c r="AR37" s="7" t="s">
        <v>194</v>
      </c>
      <c r="AS37" s="7"/>
      <c r="AT37" s="7" t="s">
        <v>195</v>
      </c>
      <c r="AU37" s="7" t="s">
        <v>196</v>
      </c>
      <c r="AV37" s="7"/>
      <c r="AW37" s="7"/>
      <c r="AX37" s="7"/>
      <c r="AY37" s="7" t="s">
        <v>176</v>
      </c>
      <c r="AZ37" s="7" t="s">
        <v>191</v>
      </c>
      <c r="BA37" s="7" t="s">
        <v>9</v>
      </c>
      <c r="BB37" s="12">
        <v>-900</v>
      </c>
      <c r="BC37" s="7" t="s">
        <v>12</v>
      </c>
      <c r="BD37" s="13">
        <v>1.54</v>
      </c>
      <c r="BE37" s="12">
        <v>-1386</v>
      </c>
      <c r="BF37" s="7" t="s">
        <v>178</v>
      </c>
      <c r="BG37" s="13">
        <v>2.85</v>
      </c>
      <c r="BH37" s="12">
        <v>-3950.1</v>
      </c>
      <c r="BI37" s="7"/>
      <c r="BJ37" s="13"/>
      <c r="BK37" s="12"/>
    </row>
    <row r="38" spans="1:63" x14ac:dyDescent="0.35">
      <c r="A38" s="7" t="s">
        <v>151</v>
      </c>
      <c r="B38" s="7" t="s">
        <v>152</v>
      </c>
      <c r="C38" s="7" t="s">
        <v>153</v>
      </c>
      <c r="D38" s="7"/>
      <c r="E38" s="7" t="s">
        <v>162</v>
      </c>
      <c r="F38" s="7" t="s">
        <v>154</v>
      </c>
      <c r="G38" s="7"/>
      <c r="H38" s="7"/>
      <c r="I38" s="7"/>
      <c r="J38" s="7"/>
      <c r="K38" s="7"/>
      <c r="L38" s="7" t="s">
        <v>155</v>
      </c>
      <c r="M38" s="7"/>
      <c r="N38" s="7"/>
      <c r="O38" s="7" t="s">
        <v>191</v>
      </c>
      <c r="P38" s="7" t="s">
        <v>192</v>
      </c>
      <c r="Q38" s="7" t="s">
        <v>158</v>
      </c>
      <c r="R38" s="7" t="s">
        <v>159</v>
      </c>
      <c r="S38" s="7" t="s">
        <v>160</v>
      </c>
      <c r="T38" s="7" t="s">
        <v>161</v>
      </c>
      <c r="U38" s="7"/>
      <c r="V38" s="7" t="s">
        <v>162</v>
      </c>
      <c r="W38" s="7" t="s">
        <v>163</v>
      </c>
      <c r="X38" s="7" t="s">
        <v>164</v>
      </c>
      <c r="Y38" s="7" t="s">
        <v>165</v>
      </c>
      <c r="Z38" s="7" t="s">
        <v>166</v>
      </c>
      <c r="AA38" s="7" t="s">
        <v>167</v>
      </c>
      <c r="AB38" s="7" t="s">
        <v>168</v>
      </c>
      <c r="AC38" s="7" t="s">
        <v>193</v>
      </c>
      <c r="AD38" s="7"/>
      <c r="AE38" s="7"/>
      <c r="AF38" s="7"/>
      <c r="AG38" s="7"/>
      <c r="AH38" s="7"/>
      <c r="AI38" s="7" t="s">
        <v>170</v>
      </c>
      <c r="AJ38" s="7" t="s">
        <v>171</v>
      </c>
      <c r="AK38" s="7" t="s">
        <v>172</v>
      </c>
      <c r="AL38" s="7"/>
      <c r="AM38" s="10">
        <v>2025</v>
      </c>
      <c r="AN38" s="10">
        <v>1</v>
      </c>
      <c r="AO38" s="9">
        <v>45658</v>
      </c>
      <c r="AP38" s="9">
        <v>45658</v>
      </c>
      <c r="AQ38" s="9">
        <v>45658</v>
      </c>
      <c r="AR38" s="7" t="s">
        <v>194</v>
      </c>
      <c r="AS38" s="7"/>
      <c r="AT38" s="7" t="s">
        <v>197</v>
      </c>
      <c r="AU38" s="7" t="s">
        <v>198</v>
      </c>
      <c r="AV38" s="7"/>
      <c r="AW38" s="7"/>
      <c r="AX38" s="7"/>
      <c r="AY38" s="7" t="s">
        <v>181</v>
      </c>
      <c r="AZ38" s="7" t="s">
        <v>191</v>
      </c>
      <c r="BA38" s="7" t="s">
        <v>9</v>
      </c>
      <c r="BB38" s="12">
        <v>8000</v>
      </c>
      <c r="BC38" s="7" t="s">
        <v>12</v>
      </c>
      <c r="BD38" s="13">
        <v>1.54</v>
      </c>
      <c r="BE38" s="12">
        <v>12320</v>
      </c>
      <c r="BF38" s="7" t="s">
        <v>178</v>
      </c>
      <c r="BG38" s="13">
        <v>2.85</v>
      </c>
      <c r="BH38" s="12">
        <v>35112</v>
      </c>
      <c r="BI38" s="7"/>
      <c r="BJ38" s="13"/>
      <c r="BK38" s="12"/>
    </row>
    <row r="39" spans="1:63" x14ac:dyDescent="0.35">
      <c r="A39" s="7" t="s">
        <v>151</v>
      </c>
      <c r="B39" s="7" t="s">
        <v>152</v>
      </c>
      <c r="C39" s="7" t="s">
        <v>153</v>
      </c>
      <c r="D39" s="7"/>
      <c r="E39" s="7"/>
      <c r="F39" s="7" t="s">
        <v>154</v>
      </c>
      <c r="G39" s="7"/>
      <c r="H39" s="7"/>
      <c r="I39" s="7"/>
      <c r="J39" s="7"/>
      <c r="K39" s="7"/>
      <c r="L39" s="7" t="s">
        <v>155</v>
      </c>
      <c r="M39" s="7"/>
      <c r="N39" s="7"/>
      <c r="O39" s="7" t="s">
        <v>191</v>
      </c>
      <c r="P39" s="7" t="s">
        <v>192</v>
      </c>
      <c r="Q39" s="7" t="s">
        <v>158</v>
      </c>
      <c r="R39" s="7" t="s">
        <v>159</v>
      </c>
      <c r="S39" s="7" t="s">
        <v>160</v>
      </c>
      <c r="T39" s="7" t="s">
        <v>161</v>
      </c>
      <c r="U39" s="7"/>
      <c r="V39" s="7" t="s">
        <v>162</v>
      </c>
      <c r="W39" s="7" t="s">
        <v>163</v>
      </c>
      <c r="X39" s="7" t="s">
        <v>164</v>
      </c>
      <c r="Y39" s="7" t="s">
        <v>165</v>
      </c>
      <c r="Z39" s="7" t="s">
        <v>166</v>
      </c>
      <c r="AA39" s="7" t="s">
        <v>167</v>
      </c>
      <c r="AB39" s="7" t="s">
        <v>168</v>
      </c>
      <c r="AC39" s="7" t="s">
        <v>193</v>
      </c>
      <c r="AD39" s="7"/>
      <c r="AE39" s="7"/>
      <c r="AF39" s="7"/>
      <c r="AG39" s="7"/>
      <c r="AH39" s="7"/>
      <c r="AI39" s="7" t="s">
        <v>170</v>
      </c>
      <c r="AJ39" s="7" t="s">
        <v>171</v>
      </c>
      <c r="AK39" s="7" t="s">
        <v>172</v>
      </c>
      <c r="AL39" s="7"/>
      <c r="AM39" s="10">
        <v>2025</v>
      </c>
      <c r="AN39" s="10">
        <v>1</v>
      </c>
      <c r="AO39" s="9">
        <v>45658</v>
      </c>
      <c r="AP39" s="9">
        <v>45658</v>
      </c>
      <c r="AQ39" s="9">
        <v>45658</v>
      </c>
      <c r="AR39" s="7" t="s">
        <v>194</v>
      </c>
      <c r="AS39" s="7"/>
      <c r="AT39" s="7" t="s">
        <v>199</v>
      </c>
      <c r="AU39" s="7" t="s">
        <v>200</v>
      </c>
      <c r="AV39" s="7"/>
      <c r="AW39" s="7"/>
      <c r="AX39" s="7"/>
      <c r="AY39" s="7" t="s">
        <v>181</v>
      </c>
      <c r="AZ39" s="7" t="s">
        <v>191</v>
      </c>
      <c r="BA39" s="7" t="s">
        <v>9</v>
      </c>
      <c r="BB39" s="12">
        <v>900</v>
      </c>
      <c r="BC39" s="7" t="s">
        <v>12</v>
      </c>
      <c r="BD39" s="13">
        <v>1.54</v>
      </c>
      <c r="BE39" s="12">
        <v>1386</v>
      </c>
      <c r="BF39" s="7" t="s">
        <v>178</v>
      </c>
      <c r="BG39" s="13">
        <v>2.85</v>
      </c>
      <c r="BH39" s="12">
        <v>3950.1</v>
      </c>
      <c r="BI39" s="7"/>
      <c r="BJ39" s="13"/>
      <c r="BK39" s="12"/>
    </row>
    <row r="40" spans="1:63" x14ac:dyDescent="0.35">
      <c r="A40" s="7" t="s">
        <v>151</v>
      </c>
      <c r="B40" s="7" t="s">
        <v>152</v>
      </c>
      <c r="C40" s="7" t="s">
        <v>153</v>
      </c>
      <c r="D40" s="7"/>
      <c r="E40" s="7"/>
      <c r="F40" s="7" t="s">
        <v>154</v>
      </c>
      <c r="G40" s="7"/>
      <c r="H40" s="7"/>
      <c r="I40" s="7"/>
      <c r="J40" s="7"/>
      <c r="K40" s="7"/>
      <c r="L40" s="7" t="s">
        <v>155</v>
      </c>
      <c r="M40" s="7"/>
      <c r="N40" s="7"/>
      <c r="O40" s="7" t="s">
        <v>191</v>
      </c>
      <c r="P40" s="7" t="s">
        <v>192</v>
      </c>
      <c r="Q40" s="7" t="s">
        <v>158</v>
      </c>
      <c r="R40" s="7" t="s">
        <v>159</v>
      </c>
      <c r="S40" s="7" t="s">
        <v>160</v>
      </c>
      <c r="T40" s="7" t="s">
        <v>161</v>
      </c>
      <c r="U40" s="7"/>
      <c r="V40" s="7" t="s">
        <v>162</v>
      </c>
      <c r="W40" s="7" t="s">
        <v>163</v>
      </c>
      <c r="X40" s="7" t="s">
        <v>164</v>
      </c>
      <c r="Y40" s="7" t="s">
        <v>187</v>
      </c>
      <c r="Z40" s="7" t="s">
        <v>188</v>
      </c>
      <c r="AA40" s="7" t="s">
        <v>167</v>
      </c>
      <c r="AB40" s="7" t="s">
        <v>168</v>
      </c>
      <c r="AC40" s="7" t="s">
        <v>201</v>
      </c>
      <c r="AD40" s="7"/>
      <c r="AE40" s="7"/>
      <c r="AF40" s="7"/>
      <c r="AG40" s="7"/>
      <c r="AH40" s="7"/>
      <c r="AI40" s="7" t="s">
        <v>170</v>
      </c>
      <c r="AJ40" s="7" t="s">
        <v>171</v>
      </c>
      <c r="AK40" s="7" t="s">
        <v>172</v>
      </c>
      <c r="AL40" s="7"/>
      <c r="AM40" s="10">
        <v>2025</v>
      </c>
      <c r="AN40" s="10">
        <v>1</v>
      </c>
      <c r="AO40" s="9">
        <v>45658</v>
      </c>
      <c r="AP40" s="9">
        <v>45658</v>
      </c>
      <c r="AQ40" s="9">
        <v>45658</v>
      </c>
      <c r="AR40" s="7" t="s">
        <v>194</v>
      </c>
      <c r="AS40" s="7"/>
      <c r="AT40" s="7" t="s">
        <v>195</v>
      </c>
      <c r="AU40" s="7" t="s">
        <v>196</v>
      </c>
      <c r="AV40" s="7"/>
      <c r="AW40" s="7"/>
      <c r="AX40" s="7"/>
      <c r="AY40" s="7" t="s">
        <v>176</v>
      </c>
      <c r="AZ40" s="7" t="s">
        <v>191</v>
      </c>
      <c r="BA40" s="7" t="s">
        <v>9</v>
      </c>
      <c r="BB40" s="12">
        <v>-8000</v>
      </c>
      <c r="BC40" s="7" t="s">
        <v>12</v>
      </c>
      <c r="BD40" s="13">
        <v>1.54</v>
      </c>
      <c r="BE40" s="12">
        <v>-12320</v>
      </c>
      <c r="BF40" s="7" t="s">
        <v>178</v>
      </c>
      <c r="BG40" s="13">
        <v>2.85</v>
      </c>
      <c r="BH40" s="12">
        <v>-35112</v>
      </c>
      <c r="BI40" s="7"/>
      <c r="BJ40" s="13"/>
      <c r="BK40" s="12"/>
    </row>
    <row r="41" spans="1:63" x14ac:dyDescent="0.35">
      <c r="A41" s="7" t="s">
        <v>151</v>
      </c>
      <c r="B41" s="7" t="s">
        <v>152</v>
      </c>
      <c r="C41" s="7" t="s">
        <v>153</v>
      </c>
      <c r="D41" s="7"/>
      <c r="E41" s="7"/>
      <c r="F41" s="7" t="s">
        <v>154</v>
      </c>
      <c r="G41" s="7"/>
      <c r="H41" s="7"/>
      <c r="I41" s="7"/>
      <c r="J41" s="7"/>
      <c r="K41" s="7"/>
      <c r="L41" s="7" t="s">
        <v>155</v>
      </c>
      <c r="M41" s="7"/>
      <c r="N41" s="7"/>
      <c r="O41" s="7" t="s">
        <v>191</v>
      </c>
      <c r="P41" s="7" t="s">
        <v>192</v>
      </c>
      <c r="Q41" s="7" t="s">
        <v>158</v>
      </c>
      <c r="R41" s="7" t="s">
        <v>159</v>
      </c>
      <c r="S41" s="7" t="s">
        <v>160</v>
      </c>
      <c r="T41" s="7" t="s">
        <v>161</v>
      </c>
      <c r="U41" s="7"/>
      <c r="V41" s="7" t="s">
        <v>162</v>
      </c>
      <c r="W41" s="7" t="s">
        <v>163</v>
      </c>
      <c r="X41" s="7" t="s">
        <v>164</v>
      </c>
      <c r="Y41" s="7" t="s">
        <v>187</v>
      </c>
      <c r="Z41" s="7" t="s">
        <v>188</v>
      </c>
      <c r="AA41" s="7" t="s">
        <v>167</v>
      </c>
      <c r="AB41" s="7" t="s">
        <v>168</v>
      </c>
      <c r="AC41" s="7" t="s">
        <v>201</v>
      </c>
      <c r="AD41" s="7"/>
      <c r="AE41" s="7"/>
      <c r="AF41" s="7"/>
      <c r="AG41" s="7"/>
      <c r="AH41" s="7"/>
      <c r="AI41" s="7" t="s">
        <v>170</v>
      </c>
      <c r="AJ41" s="7" t="s">
        <v>171</v>
      </c>
      <c r="AK41" s="7" t="s">
        <v>172</v>
      </c>
      <c r="AL41" s="7"/>
      <c r="AM41" s="10">
        <v>2025</v>
      </c>
      <c r="AN41" s="10">
        <v>1</v>
      </c>
      <c r="AO41" s="9">
        <v>45658</v>
      </c>
      <c r="AP41" s="9">
        <v>45658</v>
      </c>
      <c r="AQ41" s="9">
        <v>45658</v>
      </c>
      <c r="AR41" s="7" t="s">
        <v>194</v>
      </c>
      <c r="AS41" s="7"/>
      <c r="AT41" s="7" t="s">
        <v>195</v>
      </c>
      <c r="AU41" s="7" t="s">
        <v>196</v>
      </c>
      <c r="AV41" s="7"/>
      <c r="AW41" s="7"/>
      <c r="AX41" s="7"/>
      <c r="AY41" s="7" t="s">
        <v>176</v>
      </c>
      <c r="AZ41" s="7" t="s">
        <v>191</v>
      </c>
      <c r="BA41" s="7" t="s">
        <v>9</v>
      </c>
      <c r="BB41" s="12">
        <v>-900</v>
      </c>
      <c r="BC41" s="7" t="s">
        <v>12</v>
      </c>
      <c r="BD41" s="13">
        <v>1.54</v>
      </c>
      <c r="BE41" s="12">
        <v>-1386</v>
      </c>
      <c r="BF41" s="7" t="s">
        <v>178</v>
      </c>
      <c r="BG41" s="13">
        <v>2.85</v>
      </c>
      <c r="BH41" s="12">
        <v>-3950.1</v>
      </c>
      <c r="BI41" s="7"/>
      <c r="BJ41" s="13"/>
      <c r="BK41" s="12"/>
    </row>
    <row r="42" spans="1:63" x14ac:dyDescent="0.35">
      <c r="A42" s="7" t="s">
        <v>151</v>
      </c>
      <c r="B42" s="7" t="s">
        <v>152</v>
      </c>
      <c r="C42" s="7" t="s">
        <v>153</v>
      </c>
      <c r="D42" s="7"/>
      <c r="E42" s="7" t="s">
        <v>162</v>
      </c>
      <c r="F42" s="7" t="s">
        <v>154</v>
      </c>
      <c r="G42" s="7"/>
      <c r="H42" s="7"/>
      <c r="I42" s="7"/>
      <c r="J42" s="7"/>
      <c r="K42" s="7"/>
      <c r="L42" s="7" t="s">
        <v>155</v>
      </c>
      <c r="M42" s="7"/>
      <c r="N42" s="7"/>
      <c r="O42" s="7" t="s">
        <v>191</v>
      </c>
      <c r="P42" s="7" t="s">
        <v>192</v>
      </c>
      <c r="Q42" s="7" t="s">
        <v>158</v>
      </c>
      <c r="R42" s="7" t="s">
        <v>159</v>
      </c>
      <c r="S42" s="7" t="s">
        <v>160</v>
      </c>
      <c r="T42" s="7" t="s">
        <v>161</v>
      </c>
      <c r="U42" s="7"/>
      <c r="V42" s="7" t="s">
        <v>162</v>
      </c>
      <c r="W42" s="7" t="s">
        <v>163</v>
      </c>
      <c r="X42" s="7" t="s">
        <v>164</v>
      </c>
      <c r="Y42" s="7" t="s">
        <v>187</v>
      </c>
      <c r="Z42" s="7" t="s">
        <v>188</v>
      </c>
      <c r="AA42" s="7" t="s">
        <v>167</v>
      </c>
      <c r="AB42" s="7" t="s">
        <v>168</v>
      </c>
      <c r="AC42" s="7" t="s">
        <v>201</v>
      </c>
      <c r="AD42" s="7"/>
      <c r="AE42" s="7"/>
      <c r="AF42" s="7"/>
      <c r="AG42" s="7"/>
      <c r="AH42" s="7"/>
      <c r="AI42" s="7" t="s">
        <v>170</v>
      </c>
      <c r="AJ42" s="7" t="s">
        <v>171</v>
      </c>
      <c r="AK42" s="7" t="s">
        <v>172</v>
      </c>
      <c r="AL42" s="7"/>
      <c r="AM42" s="10">
        <v>2025</v>
      </c>
      <c r="AN42" s="10">
        <v>1</v>
      </c>
      <c r="AO42" s="9">
        <v>45658</v>
      </c>
      <c r="AP42" s="9">
        <v>45658</v>
      </c>
      <c r="AQ42" s="9">
        <v>45658</v>
      </c>
      <c r="AR42" s="7" t="s">
        <v>194</v>
      </c>
      <c r="AS42" s="7"/>
      <c r="AT42" s="7" t="s">
        <v>197</v>
      </c>
      <c r="AU42" s="7" t="s">
        <v>198</v>
      </c>
      <c r="AV42" s="7"/>
      <c r="AW42" s="7"/>
      <c r="AX42" s="7"/>
      <c r="AY42" s="7" t="s">
        <v>181</v>
      </c>
      <c r="AZ42" s="7" t="s">
        <v>191</v>
      </c>
      <c r="BA42" s="7" t="s">
        <v>9</v>
      </c>
      <c r="BB42" s="12">
        <v>8000</v>
      </c>
      <c r="BC42" s="7" t="s">
        <v>12</v>
      </c>
      <c r="BD42" s="13">
        <v>1.54</v>
      </c>
      <c r="BE42" s="12">
        <v>12320</v>
      </c>
      <c r="BF42" s="7" t="s">
        <v>178</v>
      </c>
      <c r="BG42" s="13">
        <v>2.85</v>
      </c>
      <c r="BH42" s="12">
        <v>35112</v>
      </c>
      <c r="BI42" s="7"/>
      <c r="BJ42" s="13"/>
      <c r="BK42" s="12"/>
    </row>
    <row r="43" spans="1:63" x14ac:dyDescent="0.35">
      <c r="A43" s="7" t="s">
        <v>151</v>
      </c>
      <c r="B43" s="7" t="s">
        <v>152</v>
      </c>
      <c r="C43" s="7" t="s">
        <v>153</v>
      </c>
      <c r="D43" s="7"/>
      <c r="E43" s="7"/>
      <c r="F43" s="7" t="s">
        <v>154</v>
      </c>
      <c r="G43" s="7"/>
      <c r="H43" s="7"/>
      <c r="I43" s="7"/>
      <c r="J43" s="7"/>
      <c r="K43" s="7"/>
      <c r="L43" s="7" t="s">
        <v>155</v>
      </c>
      <c r="M43" s="7"/>
      <c r="N43" s="7"/>
      <c r="O43" s="7" t="s">
        <v>191</v>
      </c>
      <c r="P43" s="7" t="s">
        <v>192</v>
      </c>
      <c r="Q43" s="7" t="s">
        <v>158</v>
      </c>
      <c r="R43" s="7" t="s">
        <v>159</v>
      </c>
      <c r="S43" s="7" t="s">
        <v>160</v>
      </c>
      <c r="T43" s="7" t="s">
        <v>161</v>
      </c>
      <c r="U43" s="7"/>
      <c r="V43" s="7" t="s">
        <v>162</v>
      </c>
      <c r="W43" s="7" t="s">
        <v>163</v>
      </c>
      <c r="X43" s="7" t="s">
        <v>164</v>
      </c>
      <c r="Y43" s="7" t="s">
        <v>187</v>
      </c>
      <c r="Z43" s="7" t="s">
        <v>188</v>
      </c>
      <c r="AA43" s="7" t="s">
        <v>167</v>
      </c>
      <c r="AB43" s="7" t="s">
        <v>168</v>
      </c>
      <c r="AC43" s="7" t="s">
        <v>201</v>
      </c>
      <c r="AD43" s="7"/>
      <c r="AE43" s="7"/>
      <c r="AF43" s="7"/>
      <c r="AG43" s="7"/>
      <c r="AH43" s="7"/>
      <c r="AI43" s="7" t="s">
        <v>170</v>
      </c>
      <c r="AJ43" s="7" t="s">
        <v>171</v>
      </c>
      <c r="AK43" s="7" t="s">
        <v>172</v>
      </c>
      <c r="AL43" s="7"/>
      <c r="AM43" s="10">
        <v>2025</v>
      </c>
      <c r="AN43" s="10">
        <v>1</v>
      </c>
      <c r="AO43" s="9">
        <v>45658</v>
      </c>
      <c r="AP43" s="9">
        <v>45658</v>
      </c>
      <c r="AQ43" s="9">
        <v>45658</v>
      </c>
      <c r="AR43" s="7" t="s">
        <v>194</v>
      </c>
      <c r="AS43" s="7"/>
      <c r="AT43" s="7" t="s">
        <v>202</v>
      </c>
      <c r="AU43" s="7" t="s">
        <v>200</v>
      </c>
      <c r="AV43" s="7"/>
      <c r="AW43" s="7"/>
      <c r="AX43" s="7"/>
      <c r="AY43" s="7" t="s">
        <v>181</v>
      </c>
      <c r="AZ43" s="7" t="s">
        <v>191</v>
      </c>
      <c r="BA43" s="7" t="s">
        <v>9</v>
      </c>
      <c r="BB43" s="12">
        <v>900</v>
      </c>
      <c r="BC43" s="7" t="s">
        <v>12</v>
      </c>
      <c r="BD43" s="13">
        <v>1.54</v>
      </c>
      <c r="BE43" s="12">
        <v>1386</v>
      </c>
      <c r="BF43" s="7" t="s">
        <v>178</v>
      </c>
      <c r="BG43" s="13">
        <v>2.85</v>
      </c>
      <c r="BH43" s="12">
        <v>3950.1</v>
      </c>
      <c r="BI43" s="7"/>
      <c r="BJ43" s="13"/>
      <c r="BK43" s="12"/>
    </row>
    <row r="44" spans="1:63" x14ac:dyDescent="0.35">
      <c r="A44" s="7" t="s">
        <v>151</v>
      </c>
      <c r="B44" s="7" t="s">
        <v>152</v>
      </c>
      <c r="C44" s="7" t="s">
        <v>153</v>
      </c>
      <c r="D44" s="7"/>
      <c r="E44" s="7"/>
      <c r="F44" s="7" t="s">
        <v>203</v>
      </c>
      <c r="G44" s="7"/>
      <c r="H44" s="7"/>
      <c r="I44" s="7"/>
      <c r="J44" s="7"/>
      <c r="K44" s="7"/>
      <c r="L44" s="7" t="s">
        <v>155</v>
      </c>
      <c r="M44" s="7"/>
      <c r="N44" s="7"/>
      <c r="O44" s="7" t="s">
        <v>191</v>
      </c>
      <c r="P44" s="7" t="s">
        <v>192</v>
      </c>
      <c r="Q44" s="7" t="s">
        <v>204</v>
      </c>
      <c r="R44" s="7" t="s">
        <v>205</v>
      </c>
      <c r="S44" s="7" t="s">
        <v>206</v>
      </c>
      <c r="T44" s="7" t="s">
        <v>207</v>
      </c>
      <c r="U44" s="7"/>
      <c r="V44" s="7" t="s">
        <v>208</v>
      </c>
      <c r="W44" s="7" t="s">
        <v>163</v>
      </c>
      <c r="X44" s="7" t="s">
        <v>164</v>
      </c>
      <c r="Y44" s="7" t="s">
        <v>187</v>
      </c>
      <c r="Z44" s="7" t="s">
        <v>188</v>
      </c>
      <c r="AA44" s="7" t="s">
        <v>167</v>
      </c>
      <c r="AB44" s="7" t="s">
        <v>209</v>
      </c>
      <c r="AC44" s="7" t="s">
        <v>210</v>
      </c>
      <c r="AD44" s="7"/>
      <c r="AE44" s="7"/>
      <c r="AF44" s="7"/>
      <c r="AG44" s="7"/>
      <c r="AH44" s="7"/>
      <c r="AI44" s="7" t="s">
        <v>170</v>
      </c>
      <c r="AJ44" s="7" t="s">
        <v>171</v>
      </c>
      <c r="AK44" s="7" t="s">
        <v>172</v>
      </c>
      <c r="AL44" s="7"/>
      <c r="AM44" s="10">
        <v>2025</v>
      </c>
      <c r="AN44" s="10">
        <v>1</v>
      </c>
      <c r="AO44" s="9">
        <v>45658</v>
      </c>
      <c r="AP44" s="9">
        <v>45658</v>
      </c>
      <c r="AQ44" s="9">
        <v>45658</v>
      </c>
      <c r="AR44" s="7" t="s">
        <v>194</v>
      </c>
      <c r="AS44" s="7"/>
      <c r="AT44" s="7" t="s">
        <v>195</v>
      </c>
      <c r="AU44" s="7" t="s">
        <v>196</v>
      </c>
      <c r="AV44" s="7"/>
      <c r="AW44" s="7"/>
      <c r="AX44" s="7"/>
      <c r="AY44" s="7" t="s">
        <v>176</v>
      </c>
      <c r="AZ44" s="7" t="s">
        <v>191</v>
      </c>
      <c r="BA44" s="7" t="s">
        <v>178</v>
      </c>
      <c r="BB44" s="12">
        <v>-6500</v>
      </c>
      <c r="BC44" s="7" t="s">
        <v>12</v>
      </c>
      <c r="BD44" s="13">
        <v>1.37</v>
      </c>
      <c r="BE44" s="12">
        <v>-8905</v>
      </c>
      <c r="BF44" s="7" t="s">
        <v>178</v>
      </c>
      <c r="BG44" s="13">
        <v>2.85</v>
      </c>
      <c r="BH44" s="12">
        <v>-25379.25</v>
      </c>
      <c r="BI44" s="7"/>
      <c r="BJ44" s="13"/>
      <c r="BK44" s="12"/>
    </row>
    <row r="45" spans="1:63" x14ac:dyDescent="0.35">
      <c r="A45" s="7" t="s">
        <v>151</v>
      </c>
      <c r="B45" s="7" t="s">
        <v>152</v>
      </c>
      <c r="C45" s="7" t="s">
        <v>153</v>
      </c>
      <c r="D45" s="7"/>
      <c r="E45" s="7"/>
      <c r="F45" s="7" t="s">
        <v>203</v>
      </c>
      <c r="G45" s="7"/>
      <c r="H45" s="7"/>
      <c r="I45" s="7"/>
      <c r="J45" s="7"/>
      <c r="K45" s="7"/>
      <c r="L45" s="7" t="s">
        <v>155</v>
      </c>
      <c r="M45" s="7"/>
      <c r="N45" s="7"/>
      <c r="O45" s="7" t="s">
        <v>191</v>
      </c>
      <c r="P45" s="7" t="s">
        <v>192</v>
      </c>
      <c r="Q45" s="7" t="s">
        <v>204</v>
      </c>
      <c r="R45" s="7" t="s">
        <v>205</v>
      </c>
      <c r="S45" s="7" t="s">
        <v>206</v>
      </c>
      <c r="T45" s="7" t="s">
        <v>207</v>
      </c>
      <c r="U45" s="7"/>
      <c r="V45" s="7" t="s">
        <v>208</v>
      </c>
      <c r="W45" s="7" t="s">
        <v>163</v>
      </c>
      <c r="X45" s="7" t="s">
        <v>164</v>
      </c>
      <c r="Y45" s="7" t="s">
        <v>187</v>
      </c>
      <c r="Z45" s="7" t="s">
        <v>188</v>
      </c>
      <c r="AA45" s="7" t="s">
        <v>167</v>
      </c>
      <c r="AB45" s="7" t="s">
        <v>209</v>
      </c>
      <c r="AC45" s="7" t="s">
        <v>210</v>
      </c>
      <c r="AD45" s="7"/>
      <c r="AE45" s="7"/>
      <c r="AF45" s="7"/>
      <c r="AG45" s="7"/>
      <c r="AH45" s="7"/>
      <c r="AI45" s="7" t="s">
        <v>170</v>
      </c>
      <c r="AJ45" s="7" t="s">
        <v>171</v>
      </c>
      <c r="AK45" s="7" t="s">
        <v>172</v>
      </c>
      <c r="AL45" s="7"/>
      <c r="AM45" s="10">
        <v>2025</v>
      </c>
      <c r="AN45" s="10">
        <v>1</v>
      </c>
      <c r="AO45" s="9">
        <v>45658</v>
      </c>
      <c r="AP45" s="9">
        <v>45658</v>
      </c>
      <c r="AQ45" s="9">
        <v>45658</v>
      </c>
      <c r="AR45" s="7" t="s">
        <v>194</v>
      </c>
      <c r="AS45" s="7"/>
      <c r="AT45" s="7" t="s">
        <v>195</v>
      </c>
      <c r="AU45" s="7" t="s">
        <v>196</v>
      </c>
      <c r="AV45" s="7"/>
      <c r="AW45" s="7"/>
      <c r="AX45" s="7"/>
      <c r="AY45" s="7" t="s">
        <v>176</v>
      </c>
      <c r="AZ45" s="7" t="s">
        <v>191</v>
      </c>
      <c r="BA45" s="7" t="s">
        <v>178</v>
      </c>
      <c r="BB45" s="12">
        <v>-250</v>
      </c>
      <c r="BC45" s="7" t="s">
        <v>12</v>
      </c>
      <c r="BD45" s="13">
        <v>1.37</v>
      </c>
      <c r="BE45" s="12">
        <v>-342.5</v>
      </c>
      <c r="BF45" s="7" t="s">
        <v>178</v>
      </c>
      <c r="BG45" s="13">
        <v>2.85</v>
      </c>
      <c r="BH45" s="12">
        <v>-976.13</v>
      </c>
      <c r="BI45" s="7"/>
      <c r="BJ45" s="13"/>
      <c r="BK45" s="12"/>
    </row>
    <row r="46" spans="1:63" x14ac:dyDescent="0.35">
      <c r="A46" s="7" t="s">
        <v>151</v>
      </c>
      <c r="B46" s="7" t="s">
        <v>152</v>
      </c>
      <c r="C46" s="7" t="s">
        <v>153</v>
      </c>
      <c r="D46" s="7"/>
      <c r="E46" s="7"/>
      <c r="F46" s="7" t="s">
        <v>203</v>
      </c>
      <c r="G46" s="7"/>
      <c r="H46" s="7"/>
      <c r="I46" s="7"/>
      <c r="J46" s="7"/>
      <c r="K46" s="7"/>
      <c r="L46" s="7" t="s">
        <v>155</v>
      </c>
      <c r="M46" s="7"/>
      <c r="N46" s="7"/>
      <c r="O46" s="7" t="s">
        <v>191</v>
      </c>
      <c r="P46" s="7" t="s">
        <v>192</v>
      </c>
      <c r="Q46" s="7" t="s">
        <v>204</v>
      </c>
      <c r="R46" s="7" t="s">
        <v>205</v>
      </c>
      <c r="S46" s="7" t="s">
        <v>206</v>
      </c>
      <c r="T46" s="7" t="s">
        <v>207</v>
      </c>
      <c r="U46" s="7"/>
      <c r="V46" s="7" t="s">
        <v>208</v>
      </c>
      <c r="W46" s="7" t="s">
        <v>163</v>
      </c>
      <c r="X46" s="7" t="s">
        <v>164</v>
      </c>
      <c r="Y46" s="7" t="s">
        <v>187</v>
      </c>
      <c r="Z46" s="7" t="s">
        <v>188</v>
      </c>
      <c r="AA46" s="7" t="s">
        <v>167</v>
      </c>
      <c r="AB46" s="7" t="s">
        <v>209</v>
      </c>
      <c r="AC46" s="7" t="s">
        <v>210</v>
      </c>
      <c r="AD46" s="7"/>
      <c r="AE46" s="7"/>
      <c r="AF46" s="7"/>
      <c r="AG46" s="7"/>
      <c r="AH46" s="7"/>
      <c r="AI46" s="7" t="s">
        <v>170</v>
      </c>
      <c r="AJ46" s="7" t="s">
        <v>171</v>
      </c>
      <c r="AK46" s="7" t="s">
        <v>172</v>
      </c>
      <c r="AL46" s="7"/>
      <c r="AM46" s="10">
        <v>2025</v>
      </c>
      <c r="AN46" s="10">
        <v>1</v>
      </c>
      <c r="AO46" s="9">
        <v>45658</v>
      </c>
      <c r="AP46" s="9">
        <v>45658</v>
      </c>
      <c r="AQ46" s="9">
        <v>45658</v>
      </c>
      <c r="AR46" s="7" t="s">
        <v>194</v>
      </c>
      <c r="AS46" s="7"/>
      <c r="AT46" s="7" t="s">
        <v>211</v>
      </c>
      <c r="AU46" s="7" t="s">
        <v>212</v>
      </c>
      <c r="AV46" s="7"/>
      <c r="AW46" s="7"/>
      <c r="AX46" s="7"/>
      <c r="AY46" s="7" t="s">
        <v>181</v>
      </c>
      <c r="AZ46" s="7" t="s">
        <v>191</v>
      </c>
      <c r="BA46" s="7" t="s">
        <v>178</v>
      </c>
      <c r="BB46" s="12">
        <v>154.07</v>
      </c>
      <c r="BC46" s="7" t="s">
        <v>12</v>
      </c>
      <c r="BD46" s="13">
        <v>1.37</v>
      </c>
      <c r="BE46" s="12">
        <v>211.07</v>
      </c>
      <c r="BF46" s="7" t="s">
        <v>178</v>
      </c>
      <c r="BG46" s="13">
        <v>2.85</v>
      </c>
      <c r="BH46" s="12">
        <v>601.54999999999995</v>
      </c>
      <c r="BI46" s="7"/>
      <c r="BJ46" s="13"/>
      <c r="BK46" s="12"/>
    </row>
    <row r="47" spans="1:63" x14ac:dyDescent="0.35">
      <c r="A47" s="7" t="s">
        <v>151</v>
      </c>
      <c r="B47" s="7" t="s">
        <v>152</v>
      </c>
      <c r="C47" s="7" t="s">
        <v>153</v>
      </c>
      <c r="D47" s="7"/>
      <c r="E47" s="7" t="s">
        <v>208</v>
      </c>
      <c r="F47" s="7" t="s">
        <v>203</v>
      </c>
      <c r="G47" s="7"/>
      <c r="H47" s="7"/>
      <c r="I47" s="7"/>
      <c r="J47" s="7"/>
      <c r="K47" s="7"/>
      <c r="L47" s="7" t="s">
        <v>155</v>
      </c>
      <c r="M47" s="7"/>
      <c r="N47" s="7"/>
      <c r="O47" s="7" t="s">
        <v>191</v>
      </c>
      <c r="P47" s="7" t="s">
        <v>192</v>
      </c>
      <c r="Q47" s="7" t="s">
        <v>204</v>
      </c>
      <c r="R47" s="7" t="s">
        <v>205</v>
      </c>
      <c r="S47" s="7" t="s">
        <v>206</v>
      </c>
      <c r="T47" s="7" t="s">
        <v>207</v>
      </c>
      <c r="U47" s="7"/>
      <c r="V47" s="7" t="s">
        <v>208</v>
      </c>
      <c r="W47" s="7" t="s">
        <v>163</v>
      </c>
      <c r="X47" s="7" t="s">
        <v>164</v>
      </c>
      <c r="Y47" s="7" t="s">
        <v>187</v>
      </c>
      <c r="Z47" s="7" t="s">
        <v>188</v>
      </c>
      <c r="AA47" s="7" t="s">
        <v>167</v>
      </c>
      <c r="AB47" s="7" t="s">
        <v>209</v>
      </c>
      <c r="AC47" s="7" t="s">
        <v>210</v>
      </c>
      <c r="AD47" s="7"/>
      <c r="AE47" s="7"/>
      <c r="AF47" s="7"/>
      <c r="AG47" s="7"/>
      <c r="AH47" s="7"/>
      <c r="AI47" s="7" t="s">
        <v>170</v>
      </c>
      <c r="AJ47" s="7" t="s">
        <v>171</v>
      </c>
      <c r="AK47" s="7" t="s">
        <v>172</v>
      </c>
      <c r="AL47" s="7"/>
      <c r="AM47" s="10">
        <v>2025</v>
      </c>
      <c r="AN47" s="10">
        <v>1</v>
      </c>
      <c r="AO47" s="9">
        <v>45658</v>
      </c>
      <c r="AP47" s="9">
        <v>45658</v>
      </c>
      <c r="AQ47" s="9">
        <v>45658</v>
      </c>
      <c r="AR47" s="7" t="s">
        <v>194</v>
      </c>
      <c r="AS47" s="7"/>
      <c r="AT47" s="7" t="s">
        <v>197</v>
      </c>
      <c r="AU47" s="7" t="s">
        <v>198</v>
      </c>
      <c r="AV47" s="7"/>
      <c r="AW47" s="7"/>
      <c r="AX47" s="7"/>
      <c r="AY47" s="7" t="s">
        <v>181</v>
      </c>
      <c r="AZ47" s="7" t="s">
        <v>191</v>
      </c>
      <c r="BA47" s="7" t="s">
        <v>178</v>
      </c>
      <c r="BB47" s="12">
        <v>6345.93</v>
      </c>
      <c r="BC47" s="7" t="s">
        <v>12</v>
      </c>
      <c r="BD47" s="13">
        <v>1.37</v>
      </c>
      <c r="BE47" s="12">
        <v>8693.93</v>
      </c>
      <c r="BF47" s="7" t="s">
        <v>178</v>
      </c>
      <c r="BG47" s="13">
        <v>2.85</v>
      </c>
      <c r="BH47" s="12">
        <v>24777.7</v>
      </c>
      <c r="BI47" s="7"/>
      <c r="BJ47" s="13"/>
      <c r="BK47" s="12"/>
    </row>
    <row r="48" spans="1:63" x14ac:dyDescent="0.35">
      <c r="A48" s="7" t="s">
        <v>151</v>
      </c>
      <c r="B48" s="7" t="s">
        <v>152</v>
      </c>
      <c r="C48" s="7" t="s">
        <v>153</v>
      </c>
      <c r="D48" s="7"/>
      <c r="E48" s="7"/>
      <c r="F48" s="7" t="s">
        <v>203</v>
      </c>
      <c r="G48" s="7"/>
      <c r="H48" s="7"/>
      <c r="I48" s="7"/>
      <c r="J48" s="7"/>
      <c r="K48" s="7"/>
      <c r="L48" s="7" t="s">
        <v>155</v>
      </c>
      <c r="M48" s="7"/>
      <c r="N48" s="7"/>
      <c r="O48" s="7" t="s">
        <v>191</v>
      </c>
      <c r="P48" s="7" t="s">
        <v>192</v>
      </c>
      <c r="Q48" s="7" t="s">
        <v>204</v>
      </c>
      <c r="R48" s="7" t="s">
        <v>205</v>
      </c>
      <c r="S48" s="7" t="s">
        <v>206</v>
      </c>
      <c r="T48" s="7" t="s">
        <v>207</v>
      </c>
      <c r="U48" s="7"/>
      <c r="V48" s="7" t="s">
        <v>208</v>
      </c>
      <c r="W48" s="7" t="s">
        <v>163</v>
      </c>
      <c r="X48" s="7" t="s">
        <v>164</v>
      </c>
      <c r="Y48" s="7" t="s">
        <v>187</v>
      </c>
      <c r="Z48" s="7" t="s">
        <v>188</v>
      </c>
      <c r="AA48" s="7" t="s">
        <v>167</v>
      </c>
      <c r="AB48" s="7" t="s">
        <v>209</v>
      </c>
      <c r="AC48" s="7" t="s">
        <v>210</v>
      </c>
      <c r="AD48" s="7"/>
      <c r="AE48" s="7"/>
      <c r="AF48" s="7"/>
      <c r="AG48" s="7"/>
      <c r="AH48" s="7"/>
      <c r="AI48" s="7" t="s">
        <v>170</v>
      </c>
      <c r="AJ48" s="7" t="s">
        <v>171</v>
      </c>
      <c r="AK48" s="7" t="s">
        <v>172</v>
      </c>
      <c r="AL48" s="7"/>
      <c r="AM48" s="10">
        <v>2025</v>
      </c>
      <c r="AN48" s="10">
        <v>1</v>
      </c>
      <c r="AO48" s="9">
        <v>45658</v>
      </c>
      <c r="AP48" s="9">
        <v>45658</v>
      </c>
      <c r="AQ48" s="9">
        <v>45658</v>
      </c>
      <c r="AR48" s="7" t="s">
        <v>194</v>
      </c>
      <c r="AS48" s="7"/>
      <c r="AT48" s="7" t="s">
        <v>202</v>
      </c>
      <c r="AU48" s="7" t="s">
        <v>200</v>
      </c>
      <c r="AV48" s="7"/>
      <c r="AW48" s="7"/>
      <c r="AX48" s="7"/>
      <c r="AY48" s="7" t="s">
        <v>181</v>
      </c>
      <c r="AZ48" s="7" t="s">
        <v>191</v>
      </c>
      <c r="BA48" s="7" t="s">
        <v>178</v>
      </c>
      <c r="BB48" s="12">
        <v>250</v>
      </c>
      <c r="BC48" s="7" t="s">
        <v>12</v>
      </c>
      <c r="BD48" s="13">
        <v>1.37</v>
      </c>
      <c r="BE48" s="12">
        <v>342.5</v>
      </c>
      <c r="BF48" s="7" t="s">
        <v>178</v>
      </c>
      <c r="BG48" s="13">
        <v>2.85</v>
      </c>
      <c r="BH48" s="12">
        <v>976.13</v>
      </c>
      <c r="BI48" s="7"/>
      <c r="BJ48" s="13"/>
      <c r="BK48" s="12"/>
    </row>
    <row r="49" spans="1:63" x14ac:dyDescent="0.35">
      <c r="A49" s="7" t="s">
        <v>151</v>
      </c>
      <c r="B49" s="7" t="s">
        <v>152</v>
      </c>
      <c r="C49" s="7" t="s">
        <v>153</v>
      </c>
      <c r="D49" s="7"/>
      <c r="E49" s="7"/>
      <c r="F49" s="7" t="s">
        <v>203</v>
      </c>
      <c r="G49" s="7"/>
      <c r="H49" s="7"/>
      <c r="I49" s="7"/>
      <c r="J49" s="7"/>
      <c r="K49" s="7"/>
      <c r="L49" s="7" t="s">
        <v>155</v>
      </c>
      <c r="M49" s="7"/>
      <c r="N49" s="7"/>
      <c r="O49" s="7" t="s">
        <v>191</v>
      </c>
      <c r="P49" s="7" t="s">
        <v>192</v>
      </c>
      <c r="Q49" s="7" t="s">
        <v>204</v>
      </c>
      <c r="R49" s="7" t="s">
        <v>205</v>
      </c>
      <c r="S49" s="7" t="s">
        <v>206</v>
      </c>
      <c r="T49" s="7" t="s">
        <v>207</v>
      </c>
      <c r="U49" s="7"/>
      <c r="V49" s="7" t="s">
        <v>208</v>
      </c>
      <c r="W49" s="7" t="s">
        <v>163</v>
      </c>
      <c r="X49" s="7" t="s">
        <v>164</v>
      </c>
      <c r="Y49" s="7" t="s">
        <v>165</v>
      </c>
      <c r="Z49" s="7" t="s">
        <v>166</v>
      </c>
      <c r="AA49" s="7" t="s">
        <v>167</v>
      </c>
      <c r="AB49" s="7" t="s">
        <v>209</v>
      </c>
      <c r="AC49" s="7" t="s">
        <v>213</v>
      </c>
      <c r="AD49" s="7"/>
      <c r="AE49" s="7"/>
      <c r="AF49" s="7"/>
      <c r="AG49" s="7"/>
      <c r="AH49" s="7"/>
      <c r="AI49" s="7" t="s">
        <v>170</v>
      </c>
      <c r="AJ49" s="7" t="s">
        <v>171</v>
      </c>
      <c r="AK49" s="7" t="s">
        <v>172</v>
      </c>
      <c r="AL49" s="7"/>
      <c r="AM49" s="10">
        <v>2025</v>
      </c>
      <c r="AN49" s="10">
        <v>1</v>
      </c>
      <c r="AO49" s="9">
        <v>45658</v>
      </c>
      <c r="AP49" s="9">
        <v>45658</v>
      </c>
      <c r="AQ49" s="9">
        <v>45658</v>
      </c>
      <c r="AR49" s="7" t="s">
        <v>194</v>
      </c>
      <c r="AS49" s="7"/>
      <c r="AT49" s="7" t="s">
        <v>195</v>
      </c>
      <c r="AU49" s="7" t="s">
        <v>196</v>
      </c>
      <c r="AV49" s="7"/>
      <c r="AW49" s="7"/>
      <c r="AX49" s="7"/>
      <c r="AY49" s="7" t="s">
        <v>176</v>
      </c>
      <c r="AZ49" s="7" t="s">
        <v>191</v>
      </c>
      <c r="BA49" s="7" t="s">
        <v>178</v>
      </c>
      <c r="BB49" s="12">
        <v>-6500</v>
      </c>
      <c r="BC49" s="7" t="s">
        <v>12</v>
      </c>
      <c r="BD49" s="13">
        <v>1.37</v>
      </c>
      <c r="BE49" s="12">
        <v>-8905</v>
      </c>
      <c r="BF49" s="7" t="s">
        <v>178</v>
      </c>
      <c r="BG49" s="13">
        <v>2.85</v>
      </c>
      <c r="BH49" s="12">
        <v>-25379.25</v>
      </c>
      <c r="BI49" s="7"/>
      <c r="BJ49" s="13"/>
      <c r="BK49" s="12"/>
    </row>
    <row r="50" spans="1:63" x14ac:dyDescent="0.35">
      <c r="A50" s="7" t="s">
        <v>151</v>
      </c>
      <c r="B50" s="7" t="s">
        <v>152</v>
      </c>
      <c r="C50" s="7" t="s">
        <v>153</v>
      </c>
      <c r="D50" s="7"/>
      <c r="E50" s="7"/>
      <c r="F50" s="7" t="s">
        <v>203</v>
      </c>
      <c r="G50" s="7"/>
      <c r="H50" s="7"/>
      <c r="I50" s="7"/>
      <c r="J50" s="7"/>
      <c r="K50" s="7"/>
      <c r="L50" s="7" t="s">
        <v>155</v>
      </c>
      <c r="M50" s="7"/>
      <c r="N50" s="7"/>
      <c r="O50" s="7" t="s">
        <v>191</v>
      </c>
      <c r="P50" s="7" t="s">
        <v>192</v>
      </c>
      <c r="Q50" s="7" t="s">
        <v>204</v>
      </c>
      <c r="R50" s="7" t="s">
        <v>205</v>
      </c>
      <c r="S50" s="7" t="s">
        <v>206</v>
      </c>
      <c r="T50" s="7" t="s">
        <v>207</v>
      </c>
      <c r="U50" s="7"/>
      <c r="V50" s="7" t="s">
        <v>208</v>
      </c>
      <c r="W50" s="7" t="s">
        <v>163</v>
      </c>
      <c r="X50" s="7" t="s">
        <v>164</v>
      </c>
      <c r="Y50" s="7" t="s">
        <v>165</v>
      </c>
      <c r="Z50" s="7" t="s">
        <v>166</v>
      </c>
      <c r="AA50" s="7" t="s">
        <v>167</v>
      </c>
      <c r="AB50" s="7" t="s">
        <v>209</v>
      </c>
      <c r="AC50" s="7" t="s">
        <v>213</v>
      </c>
      <c r="AD50" s="7"/>
      <c r="AE50" s="7"/>
      <c r="AF50" s="7"/>
      <c r="AG50" s="7"/>
      <c r="AH50" s="7"/>
      <c r="AI50" s="7" t="s">
        <v>170</v>
      </c>
      <c r="AJ50" s="7" t="s">
        <v>171</v>
      </c>
      <c r="AK50" s="7" t="s">
        <v>172</v>
      </c>
      <c r="AL50" s="7"/>
      <c r="AM50" s="10">
        <v>2025</v>
      </c>
      <c r="AN50" s="10">
        <v>1</v>
      </c>
      <c r="AO50" s="9">
        <v>45658</v>
      </c>
      <c r="AP50" s="9">
        <v>45658</v>
      </c>
      <c r="AQ50" s="9">
        <v>45658</v>
      </c>
      <c r="AR50" s="7" t="s">
        <v>194</v>
      </c>
      <c r="AS50" s="7"/>
      <c r="AT50" s="7" t="s">
        <v>195</v>
      </c>
      <c r="AU50" s="7" t="s">
        <v>196</v>
      </c>
      <c r="AV50" s="7"/>
      <c r="AW50" s="7"/>
      <c r="AX50" s="7"/>
      <c r="AY50" s="7" t="s">
        <v>176</v>
      </c>
      <c r="AZ50" s="7" t="s">
        <v>191</v>
      </c>
      <c r="BA50" s="7" t="s">
        <v>178</v>
      </c>
      <c r="BB50" s="12">
        <v>-250</v>
      </c>
      <c r="BC50" s="7" t="s">
        <v>12</v>
      </c>
      <c r="BD50" s="13">
        <v>1.37</v>
      </c>
      <c r="BE50" s="12">
        <v>-342.5</v>
      </c>
      <c r="BF50" s="7" t="s">
        <v>178</v>
      </c>
      <c r="BG50" s="13">
        <v>2.85</v>
      </c>
      <c r="BH50" s="12">
        <v>-976.13</v>
      </c>
      <c r="BI50" s="7"/>
      <c r="BJ50" s="13"/>
      <c r="BK50" s="12"/>
    </row>
    <row r="51" spans="1:63" x14ac:dyDescent="0.35">
      <c r="A51" s="7" t="s">
        <v>151</v>
      </c>
      <c r="B51" s="7" t="s">
        <v>152</v>
      </c>
      <c r="C51" s="7" t="s">
        <v>153</v>
      </c>
      <c r="D51" s="7"/>
      <c r="E51" s="7"/>
      <c r="F51" s="7" t="s">
        <v>203</v>
      </c>
      <c r="G51" s="7"/>
      <c r="H51" s="7"/>
      <c r="I51" s="7"/>
      <c r="J51" s="7"/>
      <c r="K51" s="7"/>
      <c r="L51" s="7" t="s">
        <v>155</v>
      </c>
      <c r="M51" s="7"/>
      <c r="N51" s="7"/>
      <c r="O51" s="7" t="s">
        <v>191</v>
      </c>
      <c r="P51" s="7" t="s">
        <v>192</v>
      </c>
      <c r="Q51" s="7" t="s">
        <v>204</v>
      </c>
      <c r="R51" s="7" t="s">
        <v>205</v>
      </c>
      <c r="S51" s="7" t="s">
        <v>206</v>
      </c>
      <c r="T51" s="7" t="s">
        <v>207</v>
      </c>
      <c r="U51" s="7"/>
      <c r="V51" s="7" t="s">
        <v>208</v>
      </c>
      <c r="W51" s="7" t="s">
        <v>163</v>
      </c>
      <c r="X51" s="7" t="s">
        <v>164</v>
      </c>
      <c r="Y51" s="7" t="s">
        <v>165</v>
      </c>
      <c r="Z51" s="7" t="s">
        <v>166</v>
      </c>
      <c r="AA51" s="7" t="s">
        <v>167</v>
      </c>
      <c r="AB51" s="7" t="s">
        <v>209</v>
      </c>
      <c r="AC51" s="7" t="s">
        <v>213</v>
      </c>
      <c r="AD51" s="7"/>
      <c r="AE51" s="7"/>
      <c r="AF51" s="7"/>
      <c r="AG51" s="7"/>
      <c r="AH51" s="7"/>
      <c r="AI51" s="7" t="s">
        <v>170</v>
      </c>
      <c r="AJ51" s="7" t="s">
        <v>171</v>
      </c>
      <c r="AK51" s="7" t="s">
        <v>172</v>
      </c>
      <c r="AL51" s="7"/>
      <c r="AM51" s="10">
        <v>2025</v>
      </c>
      <c r="AN51" s="10">
        <v>1</v>
      </c>
      <c r="AO51" s="9">
        <v>45658</v>
      </c>
      <c r="AP51" s="9">
        <v>45658</v>
      </c>
      <c r="AQ51" s="9">
        <v>45658</v>
      </c>
      <c r="AR51" s="7" t="s">
        <v>194</v>
      </c>
      <c r="AS51" s="7"/>
      <c r="AT51" s="7" t="s">
        <v>211</v>
      </c>
      <c r="AU51" s="7" t="s">
        <v>212</v>
      </c>
      <c r="AV51" s="7"/>
      <c r="AW51" s="7"/>
      <c r="AX51" s="7"/>
      <c r="AY51" s="7" t="s">
        <v>181</v>
      </c>
      <c r="AZ51" s="7" t="s">
        <v>191</v>
      </c>
      <c r="BA51" s="7" t="s">
        <v>178</v>
      </c>
      <c r="BB51" s="12">
        <v>154.07</v>
      </c>
      <c r="BC51" s="7" t="s">
        <v>12</v>
      </c>
      <c r="BD51" s="13">
        <v>1.37</v>
      </c>
      <c r="BE51" s="12">
        <v>211.07</v>
      </c>
      <c r="BF51" s="7" t="s">
        <v>178</v>
      </c>
      <c r="BG51" s="13">
        <v>2.85</v>
      </c>
      <c r="BH51" s="12">
        <v>601.54999999999995</v>
      </c>
      <c r="BI51" s="7"/>
      <c r="BJ51" s="13"/>
      <c r="BK51" s="12"/>
    </row>
    <row r="52" spans="1:63" x14ac:dyDescent="0.35">
      <c r="A52" s="7" t="s">
        <v>151</v>
      </c>
      <c r="B52" s="7" t="s">
        <v>152</v>
      </c>
      <c r="C52" s="7" t="s">
        <v>153</v>
      </c>
      <c r="D52" s="7"/>
      <c r="E52" s="7" t="s">
        <v>208</v>
      </c>
      <c r="F52" s="7" t="s">
        <v>203</v>
      </c>
      <c r="G52" s="7"/>
      <c r="H52" s="7"/>
      <c r="I52" s="7"/>
      <c r="J52" s="7"/>
      <c r="K52" s="7"/>
      <c r="L52" s="7" t="s">
        <v>155</v>
      </c>
      <c r="M52" s="7"/>
      <c r="N52" s="7"/>
      <c r="O52" s="7" t="s">
        <v>191</v>
      </c>
      <c r="P52" s="7" t="s">
        <v>192</v>
      </c>
      <c r="Q52" s="7" t="s">
        <v>204</v>
      </c>
      <c r="R52" s="7" t="s">
        <v>205</v>
      </c>
      <c r="S52" s="7" t="s">
        <v>206</v>
      </c>
      <c r="T52" s="7" t="s">
        <v>207</v>
      </c>
      <c r="U52" s="7"/>
      <c r="V52" s="7" t="s">
        <v>208</v>
      </c>
      <c r="W52" s="7" t="s">
        <v>163</v>
      </c>
      <c r="X52" s="7" t="s">
        <v>164</v>
      </c>
      <c r="Y52" s="7" t="s">
        <v>165</v>
      </c>
      <c r="Z52" s="7" t="s">
        <v>166</v>
      </c>
      <c r="AA52" s="7" t="s">
        <v>167</v>
      </c>
      <c r="AB52" s="7" t="s">
        <v>209</v>
      </c>
      <c r="AC52" s="7" t="s">
        <v>213</v>
      </c>
      <c r="AD52" s="7"/>
      <c r="AE52" s="7"/>
      <c r="AF52" s="7"/>
      <c r="AG52" s="7"/>
      <c r="AH52" s="7"/>
      <c r="AI52" s="7" t="s">
        <v>170</v>
      </c>
      <c r="AJ52" s="7" t="s">
        <v>171</v>
      </c>
      <c r="AK52" s="7" t="s">
        <v>172</v>
      </c>
      <c r="AL52" s="7"/>
      <c r="AM52" s="10">
        <v>2025</v>
      </c>
      <c r="AN52" s="10">
        <v>1</v>
      </c>
      <c r="AO52" s="9">
        <v>45658</v>
      </c>
      <c r="AP52" s="9">
        <v>45658</v>
      </c>
      <c r="AQ52" s="9">
        <v>45658</v>
      </c>
      <c r="AR52" s="7" t="s">
        <v>194</v>
      </c>
      <c r="AS52" s="7"/>
      <c r="AT52" s="7" t="s">
        <v>197</v>
      </c>
      <c r="AU52" s="7" t="s">
        <v>198</v>
      </c>
      <c r="AV52" s="7"/>
      <c r="AW52" s="7"/>
      <c r="AX52" s="7"/>
      <c r="AY52" s="7" t="s">
        <v>181</v>
      </c>
      <c r="AZ52" s="7" t="s">
        <v>191</v>
      </c>
      <c r="BA52" s="7" t="s">
        <v>178</v>
      </c>
      <c r="BB52" s="12">
        <v>6345.93</v>
      </c>
      <c r="BC52" s="7" t="s">
        <v>12</v>
      </c>
      <c r="BD52" s="13">
        <v>1.37</v>
      </c>
      <c r="BE52" s="12">
        <v>8693.93</v>
      </c>
      <c r="BF52" s="7" t="s">
        <v>178</v>
      </c>
      <c r="BG52" s="13">
        <v>2.85</v>
      </c>
      <c r="BH52" s="12">
        <v>24777.7</v>
      </c>
      <c r="BI52" s="7"/>
      <c r="BJ52" s="13"/>
      <c r="BK52" s="12"/>
    </row>
    <row r="53" spans="1:63" x14ac:dyDescent="0.35">
      <c r="A53" s="7" t="s">
        <v>151</v>
      </c>
      <c r="B53" s="7" t="s">
        <v>152</v>
      </c>
      <c r="C53" s="7" t="s">
        <v>153</v>
      </c>
      <c r="D53" s="7"/>
      <c r="E53" s="7"/>
      <c r="F53" s="7" t="s">
        <v>203</v>
      </c>
      <c r="G53" s="7"/>
      <c r="H53" s="7"/>
      <c r="I53" s="7"/>
      <c r="J53" s="7"/>
      <c r="K53" s="7"/>
      <c r="L53" s="7" t="s">
        <v>155</v>
      </c>
      <c r="M53" s="7"/>
      <c r="N53" s="7"/>
      <c r="O53" s="7" t="s">
        <v>191</v>
      </c>
      <c r="P53" s="7" t="s">
        <v>192</v>
      </c>
      <c r="Q53" s="7" t="s">
        <v>204</v>
      </c>
      <c r="R53" s="7" t="s">
        <v>205</v>
      </c>
      <c r="S53" s="7" t="s">
        <v>206</v>
      </c>
      <c r="T53" s="7" t="s">
        <v>207</v>
      </c>
      <c r="U53" s="7"/>
      <c r="V53" s="7" t="s">
        <v>208</v>
      </c>
      <c r="W53" s="7" t="s">
        <v>163</v>
      </c>
      <c r="X53" s="7" t="s">
        <v>164</v>
      </c>
      <c r="Y53" s="7" t="s">
        <v>165</v>
      </c>
      <c r="Z53" s="7" t="s">
        <v>166</v>
      </c>
      <c r="AA53" s="7" t="s">
        <v>167</v>
      </c>
      <c r="AB53" s="7" t="s">
        <v>209</v>
      </c>
      <c r="AC53" s="7" t="s">
        <v>213</v>
      </c>
      <c r="AD53" s="7"/>
      <c r="AE53" s="7"/>
      <c r="AF53" s="7"/>
      <c r="AG53" s="7"/>
      <c r="AH53" s="7"/>
      <c r="AI53" s="7" t="s">
        <v>170</v>
      </c>
      <c r="AJ53" s="7" t="s">
        <v>171</v>
      </c>
      <c r="AK53" s="7" t="s">
        <v>172</v>
      </c>
      <c r="AL53" s="7"/>
      <c r="AM53" s="10">
        <v>2025</v>
      </c>
      <c r="AN53" s="10">
        <v>1</v>
      </c>
      <c r="AO53" s="9">
        <v>45658</v>
      </c>
      <c r="AP53" s="9">
        <v>45658</v>
      </c>
      <c r="AQ53" s="9">
        <v>45658</v>
      </c>
      <c r="AR53" s="7" t="s">
        <v>194</v>
      </c>
      <c r="AS53" s="7"/>
      <c r="AT53" s="7" t="s">
        <v>202</v>
      </c>
      <c r="AU53" s="7" t="s">
        <v>200</v>
      </c>
      <c r="AV53" s="7"/>
      <c r="AW53" s="7"/>
      <c r="AX53" s="7"/>
      <c r="AY53" s="7" t="s">
        <v>181</v>
      </c>
      <c r="AZ53" s="7" t="s">
        <v>191</v>
      </c>
      <c r="BA53" s="7" t="s">
        <v>178</v>
      </c>
      <c r="BB53" s="12">
        <v>250</v>
      </c>
      <c r="BC53" s="7" t="s">
        <v>12</v>
      </c>
      <c r="BD53" s="13">
        <v>1.37</v>
      </c>
      <c r="BE53" s="12">
        <v>342.5</v>
      </c>
      <c r="BF53" s="7" t="s">
        <v>178</v>
      </c>
      <c r="BG53" s="13">
        <v>2.85</v>
      </c>
      <c r="BH53" s="12">
        <v>976.13</v>
      </c>
      <c r="BI53" s="7"/>
      <c r="BJ53" s="13"/>
      <c r="BK53" s="12"/>
    </row>
    <row r="54" spans="1:63" x14ac:dyDescent="0.35">
      <c r="A54" s="7" t="s">
        <v>151</v>
      </c>
      <c r="B54" s="7" t="s">
        <v>152</v>
      </c>
      <c r="C54" s="7" t="s">
        <v>153</v>
      </c>
      <c r="D54" s="7"/>
      <c r="E54" s="7"/>
      <c r="F54" s="7" t="s">
        <v>154</v>
      </c>
      <c r="G54" s="7"/>
      <c r="H54" s="7"/>
      <c r="I54" s="7"/>
      <c r="J54" s="7"/>
      <c r="K54" s="7"/>
      <c r="L54" s="7" t="s">
        <v>155</v>
      </c>
      <c r="M54" s="7"/>
      <c r="N54" s="7"/>
      <c r="O54" s="7" t="s">
        <v>214</v>
      </c>
      <c r="P54" s="7" t="s">
        <v>215</v>
      </c>
      <c r="Q54" s="7" t="s">
        <v>158</v>
      </c>
      <c r="R54" s="7" t="s">
        <v>159</v>
      </c>
      <c r="S54" s="7" t="s">
        <v>160</v>
      </c>
      <c r="T54" s="7" t="s">
        <v>161</v>
      </c>
      <c r="U54" s="7"/>
      <c r="V54" s="7" t="s">
        <v>162</v>
      </c>
      <c r="W54" s="7" t="s">
        <v>163</v>
      </c>
      <c r="X54" s="7" t="s">
        <v>164</v>
      </c>
      <c r="Y54" s="7" t="s">
        <v>187</v>
      </c>
      <c r="Z54" s="7" t="s">
        <v>188</v>
      </c>
      <c r="AA54" s="7" t="s">
        <v>167</v>
      </c>
      <c r="AB54" s="7" t="s">
        <v>168</v>
      </c>
      <c r="AC54" s="7" t="s">
        <v>216</v>
      </c>
      <c r="AD54" s="7"/>
      <c r="AE54" s="7"/>
      <c r="AF54" s="7"/>
      <c r="AG54" s="7"/>
      <c r="AH54" s="7"/>
      <c r="AI54" s="7" t="s">
        <v>170</v>
      </c>
      <c r="AJ54" s="7" t="s">
        <v>171</v>
      </c>
      <c r="AK54" s="7" t="s">
        <v>172</v>
      </c>
      <c r="AL54" s="7"/>
      <c r="AM54" s="10">
        <v>2025</v>
      </c>
      <c r="AN54" s="10">
        <v>1</v>
      </c>
      <c r="AO54" s="9">
        <v>45688</v>
      </c>
      <c r="AP54" s="9">
        <v>45688</v>
      </c>
      <c r="AQ54" s="9">
        <v>45688</v>
      </c>
      <c r="AR54" s="7" t="s">
        <v>173</v>
      </c>
      <c r="AS54" s="7"/>
      <c r="AT54" s="7" t="s">
        <v>211</v>
      </c>
      <c r="AU54" s="7" t="s">
        <v>212</v>
      </c>
      <c r="AV54" s="7"/>
      <c r="AW54" s="7"/>
      <c r="AX54" s="7"/>
      <c r="AY54" s="7" t="s">
        <v>176</v>
      </c>
      <c r="AZ54" s="7" t="s">
        <v>214</v>
      </c>
      <c r="BA54" s="7" t="s">
        <v>9</v>
      </c>
      <c r="BB54" s="12">
        <v>-181.81</v>
      </c>
      <c r="BC54" s="7" t="s">
        <v>12</v>
      </c>
      <c r="BD54" s="13">
        <v>1.54</v>
      </c>
      <c r="BE54" s="12">
        <v>-279.99</v>
      </c>
      <c r="BF54" s="7" t="s">
        <v>178</v>
      </c>
      <c r="BG54" s="13">
        <v>2.85</v>
      </c>
      <c r="BH54" s="12">
        <v>-797.97</v>
      </c>
      <c r="BI54" s="7"/>
      <c r="BJ54" s="13"/>
      <c r="BK54" s="12"/>
    </row>
    <row r="55" spans="1:63" x14ac:dyDescent="0.35">
      <c r="A55" s="7" t="s">
        <v>151</v>
      </c>
      <c r="B55" s="7" t="s">
        <v>152</v>
      </c>
      <c r="C55" s="7" t="s">
        <v>153</v>
      </c>
      <c r="D55" s="7"/>
      <c r="E55" s="7" t="s">
        <v>162</v>
      </c>
      <c r="F55" s="7" t="s">
        <v>154</v>
      </c>
      <c r="G55" s="7"/>
      <c r="H55" s="7"/>
      <c r="I55" s="7"/>
      <c r="J55" s="7"/>
      <c r="K55" s="7"/>
      <c r="L55" s="7" t="s">
        <v>155</v>
      </c>
      <c r="M55" s="7"/>
      <c r="N55" s="7"/>
      <c r="O55" s="7" t="s">
        <v>214</v>
      </c>
      <c r="P55" s="7" t="s">
        <v>215</v>
      </c>
      <c r="Q55" s="7" t="s">
        <v>158</v>
      </c>
      <c r="R55" s="7" t="s">
        <v>159</v>
      </c>
      <c r="S55" s="7" t="s">
        <v>160</v>
      </c>
      <c r="T55" s="7" t="s">
        <v>161</v>
      </c>
      <c r="U55" s="7"/>
      <c r="V55" s="7" t="s">
        <v>162</v>
      </c>
      <c r="W55" s="7" t="s">
        <v>163</v>
      </c>
      <c r="X55" s="7" t="s">
        <v>164</v>
      </c>
      <c r="Y55" s="7" t="s">
        <v>187</v>
      </c>
      <c r="Z55" s="7" t="s">
        <v>188</v>
      </c>
      <c r="AA55" s="7" t="s">
        <v>167</v>
      </c>
      <c r="AB55" s="7" t="s">
        <v>168</v>
      </c>
      <c r="AC55" s="7" t="s">
        <v>216</v>
      </c>
      <c r="AD55" s="7"/>
      <c r="AE55" s="7"/>
      <c r="AF55" s="7"/>
      <c r="AG55" s="7"/>
      <c r="AH55" s="7"/>
      <c r="AI55" s="7" t="s">
        <v>170</v>
      </c>
      <c r="AJ55" s="7" t="s">
        <v>171</v>
      </c>
      <c r="AK55" s="7" t="s">
        <v>172</v>
      </c>
      <c r="AL55" s="7"/>
      <c r="AM55" s="10">
        <v>2025</v>
      </c>
      <c r="AN55" s="10">
        <v>1</v>
      </c>
      <c r="AO55" s="9">
        <v>45688</v>
      </c>
      <c r="AP55" s="9">
        <v>45688</v>
      </c>
      <c r="AQ55" s="9">
        <v>45688</v>
      </c>
      <c r="AR55" s="7" t="s">
        <v>173</v>
      </c>
      <c r="AS55" s="7"/>
      <c r="AT55" s="7" t="s">
        <v>217</v>
      </c>
      <c r="AU55" s="7" t="s">
        <v>218</v>
      </c>
      <c r="AV55" s="7"/>
      <c r="AW55" s="7"/>
      <c r="AX55" s="7"/>
      <c r="AY55" s="7" t="s">
        <v>181</v>
      </c>
      <c r="AZ55" s="7" t="s">
        <v>214</v>
      </c>
      <c r="BA55" s="7" t="s">
        <v>9</v>
      </c>
      <c r="BB55" s="12">
        <v>181.81</v>
      </c>
      <c r="BC55" s="7" t="s">
        <v>12</v>
      </c>
      <c r="BD55" s="13">
        <v>1.54</v>
      </c>
      <c r="BE55" s="12">
        <v>279.99</v>
      </c>
      <c r="BF55" s="7" t="s">
        <v>178</v>
      </c>
      <c r="BG55" s="13">
        <v>2.85</v>
      </c>
      <c r="BH55" s="12">
        <v>797.97</v>
      </c>
      <c r="BI55" s="7"/>
      <c r="BJ55" s="13"/>
      <c r="BK55" s="12"/>
    </row>
    <row r="56" spans="1:63" x14ac:dyDescent="0.35">
      <c r="A56" s="7" t="s">
        <v>151</v>
      </c>
      <c r="B56" s="7" t="s">
        <v>152</v>
      </c>
      <c r="C56" s="7" t="s">
        <v>153</v>
      </c>
      <c r="D56" s="7"/>
      <c r="E56" s="7"/>
      <c r="F56" s="7" t="s">
        <v>154</v>
      </c>
      <c r="G56" s="7"/>
      <c r="H56" s="7"/>
      <c r="I56" s="7"/>
      <c r="J56" s="7"/>
      <c r="K56" s="7"/>
      <c r="L56" s="7" t="s">
        <v>155</v>
      </c>
      <c r="M56" s="7"/>
      <c r="N56" s="7"/>
      <c r="O56" s="7" t="s">
        <v>214</v>
      </c>
      <c r="P56" s="7" t="s">
        <v>215</v>
      </c>
      <c r="Q56" s="7" t="s">
        <v>158</v>
      </c>
      <c r="R56" s="7" t="s">
        <v>159</v>
      </c>
      <c r="S56" s="7" t="s">
        <v>160</v>
      </c>
      <c r="T56" s="7" t="s">
        <v>161</v>
      </c>
      <c r="U56" s="7"/>
      <c r="V56" s="7" t="s">
        <v>162</v>
      </c>
      <c r="W56" s="7" t="s">
        <v>163</v>
      </c>
      <c r="X56" s="7" t="s">
        <v>164</v>
      </c>
      <c r="Y56" s="7" t="s">
        <v>187</v>
      </c>
      <c r="Z56" s="7" t="s">
        <v>188</v>
      </c>
      <c r="AA56" s="7" t="s">
        <v>167</v>
      </c>
      <c r="AB56" s="7" t="s">
        <v>168</v>
      </c>
      <c r="AC56" s="7" t="s">
        <v>216</v>
      </c>
      <c r="AD56" s="7"/>
      <c r="AE56" s="7"/>
      <c r="AF56" s="7"/>
      <c r="AG56" s="7"/>
      <c r="AH56" s="7"/>
      <c r="AI56" s="7" t="s">
        <v>170</v>
      </c>
      <c r="AJ56" s="7" t="s">
        <v>171</v>
      </c>
      <c r="AK56" s="7" t="s">
        <v>172</v>
      </c>
      <c r="AL56" s="7"/>
      <c r="AM56" s="10">
        <v>2025</v>
      </c>
      <c r="AN56" s="10">
        <v>1</v>
      </c>
      <c r="AO56" s="9">
        <v>45688</v>
      </c>
      <c r="AP56" s="9">
        <v>45688</v>
      </c>
      <c r="AQ56" s="9">
        <v>45688</v>
      </c>
      <c r="AR56" s="7" t="s">
        <v>173</v>
      </c>
      <c r="AS56" s="7"/>
      <c r="AT56" s="7" t="s">
        <v>202</v>
      </c>
      <c r="AU56" s="7" t="s">
        <v>200</v>
      </c>
      <c r="AV56" s="7"/>
      <c r="AW56" s="7"/>
      <c r="AX56" s="7"/>
      <c r="AY56" s="7" t="s">
        <v>176</v>
      </c>
      <c r="AZ56" s="7" t="s">
        <v>214</v>
      </c>
      <c r="BA56" s="7" t="s">
        <v>9</v>
      </c>
      <c r="BB56" s="12">
        <v>-900</v>
      </c>
      <c r="BC56" s="7" t="s">
        <v>12</v>
      </c>
      <c r="BD56" s="13">
        <v>1.54</v>
      </c>
      <c r="BE56" s="12">
        <v>-1386</v>
      </c>
      <c r="BF56" s="7" t="s">
        <v>178</v>
      </c>
      <c r="BG56" s="13">
        <v>2.85</v>
      </c>
      <c r="BH56" s="12">
        <v>-3950.1</v>
      </c>
      <c r="BI56" s="7"/>
      <c r="BJ56" s="13"/>
      <c r="BK56" s="12"/>
    </row>
    <row r="57" spans="1:63" x14ac:dyDescent="0.35">
      <c r="A57" s="7" t="s">
        <v>151</v>
      </c>
      <c r="B57" s="7" t="s">
        <v>152</v>
      </c>
      <c r="C57" s="7" t="s">
        <v>153</v>
      </c>
      <c r="D57" s="7"/>
      <c r="E57" s="7" t="s">
        <v>162</v>
      </c>
      <c r="F57" s="7" t="s">
        <v>154</v>
      </c>
      <c r="G57" s="7"/>
      <c r="H57" s="7"/>
      <c r="I57" s="7"/>
      <c r="J57" s="7"/>
      <c r="K57" s="7"/>
      <c r="L57" s="7" t="s">
        <v>155</v>
      </c>
      <c r="M57" s="7"/>
      <c r="N57" s="7"/>
      <c r="O57" s="7" t="s">
        <v>214</v>
      </c>
      <c r="P57" s="7" t="s">
        <v>215</v>
      </c>
      <c r="Q57" s="7" t="s">
        <v>158</v>
      </c>
      <c r="R57" s="7" t="s">
        <v>159</v>
      </c>
      <c r="S57" s="7" t="s">
        <v>160</v>
      </c>
      <c r="T57" s="7" t="s">
        <v>161</v>
      </c>
      <c r="U57" s="7"/>
      <c r="V57" s="7" t="s">
        <v>162</v>
      </c>
      <c r="W57" s="7" t="s">
        <v>163</v>
      </c>
      <c r="X57" s="7" t="s">
        <v>164</v>
      </c>
      <c r="Y57" s="7" t="s">
        <v>187</v>
      </c>
      <c r="Z57" s="7" t="s">
        <v>188</v>
      </c>
      <c r="AA57" s="7" t="s">
        <v>167</v>
      </c>
      <c r="AB57" s="7" t="s">
        <v>168</v>
      </c>
      <c r="AC57" s="7" t="s">
        <v>216</v>
      </c>
      <c r="AD57" s="7"/>
      <c r="AE57" s="7"/>
      <c r="AF57" s="7"/>
      <c r="AG57" s="7"/>
      <c r="AH57" s="7"/>
      <c r="AI57" s="7" t="s">
        <v>170</v>
      </c>
      <c r="AJ57" s="7" t="s">
        <v>171</v>
      </c>
      <c r="AK57" s="7" t="s">
        <v>172</v>
      </c>
      <c r="AL57" s="7"/>
      <c r="AM57" s="10">
        <v>2025</v>
      </c>
      <c r="AN57" s="10">
        <v>1</v>
      </c>
      <c r="AO57" s="9">
        <v>45688</v>
      </c>
      <c r="AP57" s="9">
        <v>45688</v>
      </c>
      <c r="AQ57" s="9">
        <v>45688</v>
      </c>
      <c r="AR57" s="7" t="s">
        <v>173</v>
      </c>
      <c r="AS57" s="7"/>
      <c r="AT57" s="7" t="s">
        <v>219</v>
      </c>
      <c r="AU57" s="7" t="s">
        <v>220</v>
      </c>
      <c r="AV57" s="7"/>
      <c r="AW57" s="7"/>
      <c r="AX57" s="7"/>
      <c r="AY57" s="7" t="s">
        <v>181</v>
      </c>
      <c r="AZ57" s="7" t="s">
        <v>214</v>
      </c>
      <c r="BA57" s="7" t="s">
        <v>9</v>
      </c>
      <c r="BB57" s="12">
        <v>900</v>
      </c>
      <c r="BC57" s="7" t="s">
        <v>12</v>
      </c>
      <c r="BD57" s="13">
        <v>1.54</v>
      </c>
      <c r="BE57" s="12">
        <v>1386</v>
      </c>
      <c r="BF57" s="7" t="s">
        <v>178</v>
      </c>
      <c r="BG57" s="13">
        <v>2.85</v>
      </c>
      <c r="BH57" s="12">
        <v>3950.1</v>
      </c>
      <c r="BI57" s="7"/>
      <c r="BJ57" s="13"/>
      <c r="BK57" s="12"/>
    </row>
    <row r="58" spans="1:63" x14ac:dyDescent="0.35">
      <c r="A58" s="7" t="s">
        <v>151</v>
      </c>
      <c r="B58" s="7" t="s">
        <v>152</v>
      </c>
      <c r="C58" s="7" t="s">
        <v>153</v>
      </c>
      <c r="D58" s="7"/>
      <c r="E58" s="7" t="s">
        <v>162</v>
      </c>
      <c r="F58" s="7" t="s">
        <v>154</v>
      </c>
      <c r="G58" s="7"/>
      <c r="H58" s="7"/>
      <c r="I58" s="7"/>
      <c r="J58" s="7"/>
      <c r="K58" s="7"/>
      <c r="L58" s="7" t="s">
        <v>155</v>
      </c>
      <c r="M58" s="7"/>
      <c r="N58" s="7"/>
      <c r="O58" s="7" t="s">
        <v>214</v>
      </c>
      <c r="P58" s="7" t="s">
        <v>215</v>
      </c>
      <c r="Q58" s="7" t="s">
        <v>158</v>
      </c>
      <c r="R58" s="7" t="s">
        <v>159</v>
      </c>
      <c r="S58" s="7" t="s">
        <v>160</v>
      </c>
      <c r="T58" s="7" t="s">
        <v>161</v>
      </c>
      <c r="U58" s="7"/>
      <c r="V58" s="7" t="s">
        <v>162</v>
      </c>
      <c r="W58" s="7" t="s">
        <v>163</v>
      </c>
      <c r="X58" s="7" t="s">
        <v>164</v>
      </c>
      <c r="Y58" s="7" t="s">
        <v>187</v>
      </c>
      <c r="Z58" s="7" t="s">
        <v>188</v>
      </c>
      <c r="AA58" s="7" t="s">
        <v>167</v>
      </c>
      <c r="AB58" s="7" t="s">
        <v>168</v>
      </c>
      <c r="AC58" s="7" t="s">
        <v>216</v>
      </c>
      <c r="AD58" s="7"/>
      <c r="AE58" s="7"/>
      <c r="AF58" s="7"/>
      <c r="AG58" s="7"/>
      <c r="AH58" s="7"/>
      <c r="AI58" s="7" t="s">
        <v>170</v>
      </c>
      <c r="AJ58" s="7" t="s">
        <v>171</v>
      </c>
      <c r="AK58" s="7" t="s">
        <v>172</v>
      </c>
      <c r="AL58" s="7"/>
      <c r="AM58" s="10">
        <v>2025</v>
      </c>
      <c r="AN58" s="10">
        <v>1</v>
      </c>
      <c r="AO58" s="9">
        <v>45688</v>
      </c>
      <c r="AP58" s="9">
        <v>45688</v>
      </c>
      <c r="AQ58" s="9">
        <v>45688</v>
      </c>
      <c r="AR58" s="7" t="s">
        <v>173</v>
      </c>
      <c r="AS58" s="7"/>
      <c r="AT58" s="7" t="s">
        <v>197</v>
      </c>
      <c r="AU58" s="7" t="s">
        <v>198</v>
      </c>
      <c r="AV58" s="7"/>
      <c r="AW58" s="7"/>
      <c r="AX58" s="7"/>
      <c r="AY58" s="7" t="s">
        <v>176</v>
      </c>
      <c r="AZ58" s="7" t="s">
        <v>214</v>
      </c>
      <c r="BA58" s="7" t="s">
        <v>9</v>
      </c>
      <c r="BB58" s="12">
        <v>-102336</v>
      </c>
      <c r="BC58" s="7" t="s">
        <v>12</v>
      </c>
      <c r="BD58" s="13">
        <v>1.54</v>
      </c>
      <c r="BE58" s="12">
        <v>-157597.44</v>
      </c>
      <c r="BF58" s="7" t="s">
        <v>178</v>
      </c>
      <c r="BG58" s="13">
        <v>2.85</v>
      </c>
      <c r="BH58" s="12">
        <v>-449152.71</v>
      </c>
      <c r="BI58" s="7"/>
      <c r="BJ58" s="13"/>
      <c r="BK58" s="12"/>
    </row>
    <row r="59" spans="1:63" x14ac:dyDescent="0.35">
      <c r="A59" s="7" t="s">
        <v>151</v>
      </c>
      <c r="B59" s="7" t="s">
        <v>152</v>
      </c>
      <c r="C59" s="7" t="s">
        <v>153</v>
      </c>
      <c r="D59" s="7"/>
      <c r="E59" s="7"/>
      <c r="F59" s="7" t="s">
        <v>154</v>
      </c>
      <c r="G59" s="7"/>
      <c r="H59" s="7"/>
      <c r="I59" s="7"/>
      <c r="J59" s="7"/>
      <c r="K59" s="7"/>
      <c r="L59" s="7" t="s">
        <v>155</v>
      </c>
      <c r="M59" s="7"/>
      <c r="N59" s="7"/>
      <c r="O59" s="7" t="s">
        <v>214</v>
      </c>
      <c r="P59" s="7" t="s">
        <v>215</v>
      </c>
      <c r="Q59" s="7" t="s">
        <v>158</v>
      </c>
      <c r="R59" s="7" t="s">
        <v>159</v>
      </c>
      <c r="S59" s="7" t="s">
        <v>160</v>
      </c>
      <c r="T59" s="7" t="s">
        <v>161</v>
      </c>
      <c r="U59" s="7"/>
      <c r="V59" s="7" t="s">
        <v>162</v>
      </c>
      <c r="W59" s="7" t="s">
        <v>163</v>
      </c>
      <c r="X59" s="7" t="s">
        <v>164</v>
      </c>
      <c r="Y59" s="7" t="s">
        <v>187</v>
      </c>
      <c r="Z59" s="7" t="s">
        <v>188</v>
      </c>
      <c r="AA59" s="7" t="s">
        <v>167</v>
      </c>
      <c r="AB59" s="7" t="s">
        <v>168</v>
      </c>
      <c r="AC59" s="7" t="s">
        <v>216</v>
      </c>
      <c r="AD59" s="7"/>
      <c r="AE59" s="7"/>
      <c r="AF59" s="7"/>
      <c r="AG59" s="7"/>
      <c r="AH59" s="7"/>
      <c r="AI59" s="7" t="s">
        <v>170</v>
      </c>
      <c r="AJ59" s="7" t="s">
        <v>171</v>
      </c>
      <c r="AK59" s="7" t="s">
        <v>172</v>
      </c>
      <c r="AL59" s="7"/>
      <c r="AM59" s="10">
        <v>2025</v>
      </c>
      <c r="AN59" s="10">
        <v>1</v>
      </c>
      <c r="AO59" s="9">
        <v>45688</v>
      </c>
      <c r="AP59" s="9">
        <v>45688</v>
      </c>
      <c r="AQ59" s="9">
        <v>45688</v>
      </c>
      <c r="AR59" s="7" t="s">
        <v>173</v>
      </c>
      <c r="AS59" s="7"/>
      <c r="AT59" s="7" t="s">
        <v>174</v>
      </c>
      <c r="AU59" s="7" t="s">
        <v>175</v>
      </c>
      <c r="AV59" s="7"/>
      <c r="AW59" s="7"/>
      <c r="AX59" s="7"/>
      <c r="AY59" s="7" t="s">
        <v>181</v>
      </c>
      <c r="AZ59" s="7" t="s">
        <v>214</v>
      </c>
      <c r="BA59" s="7" t="s">
        <v>9</v>
      </c>
      <c r="BB59" s="12">
        <v>102336</v>
      </c>
      <c r="BC59" s="7" t="s">
        <v>12</v>
      </c>
      <c r="BD59" s="13">
        <v>1.54</v>
      </c>
      <c r="BE59" s="12">
        <v>157597.44</v>
      </c>
      <c r="BF59" s="7" t="s">
        <v>178</v>
      </c>
      <c r="BG59" s="13">
        <v>2.85</v>
      </c>
      <c r="BH59" s="12">
        <v>449152.71</v>
      </c>
      <c r="BI59" s="7"/>
      <c r="BJ59" s="13"/>
      <c r="BK59" s="12"/>
    </row>
    <row r="60" spans="1:63" x14ac:dyDescent="0.35">
      <c r="A60" s="7" t="s">
        <v>151</v>
      </c>
      <c r="B60" s="7" t="s">
        <v>152</v>
      </c>
      <c r="C60" s="7" t="s">
        <v>153</v>
      </c>
      <c r="D60" s="7"/>
      <c r="E60" s="7"/>
      <c r="F60" s="7" t="s">
        <v>154</v>
      </c>
      <c r="G60" s="7"/>
      <c r="H60" s="7"/>
      <c r="I60" s="7"/>
      <c r="J60" s="7"/>
      <c r="K60" s="7"/>
      <c r="L60" s="7" t="s">
        <v>155</v>
      </c>
      <c r="M60" s="7"/>
      <c r="N60" s="7"/>
      <c r="O60" s="7" t="s">
        <v>214</v>
      </c>
      <c r="P60" s="7" t="s">
        <v>215</v>
      </c>
      <c r="Q60" s="7" t="s">
        <v>158</v>
      </c>
      <c r="R60" s="7" t="s">
        <v>159</v>
      </c>
      <c r="S60" s="7" t="s">
        <v>160</v>
      </c>
      <c r="T60" s="7" t="s">
        <v>161</v>
      </c>
      <c r="U60" s="7"/>
      <c r="V60" s="7" t="s">
        <v>162</v>
      </c>
      <c r="W60" s="7" t="s">
        <v>163</v>
      </c>
      <c r="X60" s="7" t="s">
        <v>164</v>
      </c>
      <c r="Y60" s="7" t="s">
        <v>165</v>
      </c>
      <c r="Z60" s="7" t="s">
        <v>166</v>
      </c>
      <c r="AA60" s="7" t="s">
        <v>167</v>
      </c>
      <c r="AB60" s="7" t="s">
        <v>168</v>
      </c>
      <c r="AC60" s="7" t="s">
        <v>221</v>
      </c>
      <c r="AD60" s="7"/>
      <c r="AE60" s="7"/>
      <c r="AF60" s="7"/>
      <c r="AG60" s="7"/>
      <c r="AH60" s="7"/>
      <c r="AI60" s="7" t="s">
        <v>170</v>
      </c>
      <c r="AJ60" s="7" t="s">
        <v>171</v>
      </c>
      <c r="AK60" s="7" t="s">
        <v>172</v>
      </c>
      <c r="AL60" s="7"/>
      <c r="AM60" s="10">
        <v>2025</v>
      </c>
      <c r="AN60" s="10">
        <v>1</v>
      </c>
      <c r="AO60" s="9">
        <v>45688</v>
      </c>
      <c r="AP60" s="9">
        <v>45688</v>
      </c>
      <c r="AQ60" s="9">
        <v>45688</v>
      </c>
      <c r="AR60" s="7" t="s">
        <v>173</v>
      </c>
      <c r="AS60" s="7"/>
      <c r="AT60" s="7" t="s">
        <v>211</v>
      </c>
      <c r="AU60" s="7" t="s">
        <v>212</v>
      </c>
      <c r="AV60" s="7"/>
      <c r="AW60" s="7"/>
      <c r="AX60" s="7"/>
      <c r="AY60" s="7" t="s">
        <v>176</v>
      </c>
      <c r="AZ60" s="7" t="s">
        <v>214</v>
      </c>
      <c r="BA60" s="7" t="s">
        <v>9</v>
      </c>
      <c r="BB60" s="12">
        <v>-181.81</v>
      </c>
      <c r="BC60" s="7" t="s">
        <v>12</v>
      </c>
      <c r="BD60" s="13">
        <v>1.54</v>
      </c>
      <c r="BE60" s="12">
        <v>-279.99</v>
      </c>
      <c r="BF60" s="7" t="s">
        <v>178</v>
      </c>
      <c r="BG60" s="13">
        <v>2.85</v>
      </c>
      <c r="BH60" s="12">
        <v>-797.97</v>
      </c>
      <c r="BI60" s="7"/>
      <c r="BJ60" s="13"/>
      <c r="BK60" s="12"/>
    </row>
    <row r="61" spans="1:63" x14ac:dyDescent="0.35">
      <c r="A61" s="7" t="s">
        <v>151</v>
      </c>
      <c r="B61" s="7" t="s">
        <v>152</v>
      </c>
      <c r="C61" s="7" t="s">
        <v>153</v>
      </c>
      <c r="D61" s="7"/>
      <c r="E61" s="7" t="s">
        <v>162</v>
      </c>
      <c r="F61" s="7" t="s">
        <v>154</v>
      </c>
      <c r="G61" s="7"/>
      <c r="H61" s="7"/>
      <c r="I61" s="7"/>
      <c r="J61" s="7"/>
      <c r="K61" s="7"/>
      <c r="L61" s="7" t="s">
        <v>155</v>
      </c>
      <c r="M61" s="7"/>
      <c r="N61" s="7"/>
      <c r="O61" s="7" t="s">
        <v>214</v>
      </c>
      <c r="P61" s="7" t="s">
        <v>215</v>
      </c>
      <c r="Q61" s="7" t="s">
        <v>158</v>
      </c>
      <c r="R61" s="7" t="s">
        <v>159</v>
      </c>
      <c r="S61" s="7" t="s">
        <v>160</v>
      </c>
      <c r="T61" s="7" t="s">
        <v>161</v>
      </c>
      <c r="U61" s="7"/>
      <c r="V61" s="7" t="s">
        <v>162</v>
      </c>
      <c r="W61" s="7" t="s">
        <v>163</v>
      </c>
      <c r="X61" s="7" t="s">
        <v>164</v>
      </c>
      <c r="Y61" s="7" t="s">
        <v>165</v>
      </c>
      <c r="Z61" s="7" t="s">
        <v>166</v>
      </c>
      <c r="AA61" s="7" t="s">
        <v>167</v>
      </c>
      <c r="AB61" s="7" t="s">
        <v>168</v>
      </c>
      <c r="AC61" s="7" t="s">
        <v>221</v>
      </c>
      <c r="AD61" s="7"/>
      <c r="AE61" s="7"/>
      <c r="AF61" s="7"/>
      <c r="AG61" s="7"/>
      <c r="AH61" s="7"/>
      <c r="AI61" s="7" t="s">
        <v>170</v>
      </c>
      <c r="AJ61" s="7" t="s">
        <v>171</v>
      </c>
      <c r="AK61" s="7" t="s">
        <v>172</v>
      </c>
      <c r="AL61" s="7"/>
      <c r="AM61" s="10">
        <v>2025</v>
      </c>
      <c r="AN61" s="10">
        <v>1</v>
      </c>
      <c r="AO61" s="9">
        <v>45688</v>
      </c>
      <c r="AP61" s="9">
        <v>45688</v>
      </c>
      <c r="AQ61" s="9">
        <v>45688</v>
      </c>
      <c r="AR61" s="7" t="s">
        <v>173</v>
      </c>
      <c r="AS61" s="7"/>
      <c r="AT61" s="7" t="s">
        <v>217</v>
      </c>
      <c r="AU61" s="7" t="s">
        <v>218</v>
      </c>
      <c r="AV61" s="7"/>
      <c r="AW61" s="7"/>
      <c r="AX61" s="7"/>
      <c r="AY61" s="7" t="s">
        <v>181</v>
      </c>
      <c r="AZ61" s="7" t="s">
        <v>214</v>
      </c>
      <c r="BA61" s="7" t="s">
        <v>9</v>
      </c>
      <c r="BB61" s="12">
        <v>181.81</v>
      </c>
      <c r="BC61" s="7" t="s">
        <v>12</v>
      </c>
      <c r="BD61" s="13">
        <v>1.54</v>
      </c>
      <c r="BE61" s="12">
        <v>279.99</v>
      </c>
      <c r="BF61" s="7" t="s">
        <v>178</v>
      </c>
      <c r="BG61" s="13">
        <v>2.85</v>
      </c>
      <c r="BH61" s="12">
        <v>797.97</v>
      </c>
      <c r="BI61" s="7"/>
      <c r="BJ61" s="13"/>
      <c r="BK61" s="12"/>
    </row>
    <row r="62" spans="1:63" x14ac:dyDescent="0.35">
      <c r="A62" s="7" t="s">
        <v>151</v>
      </c>
      <c r="B62" s="7" t="s">
        <v>152</v>
      </c>
      <c r="C62" s="7" t="s">
        <v>153</v>
      </c>
      <c r="D62" s="7"/>
      <c r="E62" s="7"/>
      <c r="F62" s="7" t="s">
        <v>154</v>
      </c>
      <c r="G62" s="7"/>
      <c r="H62" s="7"/>
      <c r="I62" s="7"/>
      <c r="J62" s="7"/>
      <c r="K62" s="7"/>
      <c r="L62" s="7" t="s">
        <v>155</v>
      </c>
      <c r="M62" s="7"/>
      <c r="N62" s="7"/>
      <c r="O62" s="7" t="s">
        <v>214</v>
      </c>
      <c r="P62" s="7" t="s">
        <v>215</v>
      </c>
      <c r="Q62" s="7" t="s">
        <v>158</v>
      </c>
      <c r="R62" s="7" t="s">
        <v>159</v>
      </c>
      <c r="S62" s="7" t="s">
        <v>160</v>
      </c>
      <c r="T62" s="7" t="s">
        <v>161</v>
      </c>
      <c r="U62" s="7"/>
      <c r="V62" s="7" t="s">
        <v>162</v>
      </c>
      <c r="W62" s="7" t="s">
        <v>163</v>
      </c>
      <c r="X62" s="7" t="s">
        <v>164</v>
      </c>
      <c r="Y62" s="7" t="s">
        <v>165</v>
      </c>
      <c r="Z62" s="7" t="s">
        <v>166</v>
      </c>
      <c r="AA62" s="7" t="s">
        <v>167</v>
      </c>
      <c r="AB62" s="7" t="s">
        <v>168</v>
      </c>
      <c r="AC62" s="7" t="s">
        <v>221</v>
      </c>
      <c r="AD62" s="7"/>
      <c r="AE62" s="7"/>
      <c r="AF62" s="7"/>
      <c r="AG62" s="7"/>
      <c r="AH62" s="7"/>
      <c r="AI62" s="7" t="s">
        <v>170</v>
      </c>
      <c r="AJ62" s="7" t="s">
        <v>171</v>
      </c>
      <c r="AK62" s="7" t="s">
        <v>172</v>
      </c>
      <c r="AL62" s="7"/>
      <c r="AM62" s="10">
        <v>2025</v>
      </c>
      <c r="AN62" s="10">
        <v>1</v>
      </c>
      <c r="AO62" s="9">
        <v>45688</v>
      </c>
      <c r="AP62" s="9">
        <v>45688</v>
      </c>
      <c r="AQ62" s="9">
        <v>45688</v>
      </c>
      <c r="AR62" s="7" t="s">
        <v>173</v>
      </c>
      <c r="AS62" s="7"/>
      <c r="AT62" s="7" t="s">
        <v>199</v>
      </c>
      <c r="AU62" s="7" t="s">
        <v>200</v>
      </c>
      <c r="AV62" s="7"/>
      <c r="AW62" s="7"/>
      <c r="AX62" s="7"/>
      <c r="AY62" s="7" t="s">
        <v>176</v>
      </c>
      <c r="AZ62" s="7" t="s">
        <v>214</v>
      </c>
      <c r="BA62" s="7" t="s">
        <v>9</v>
      </c>
      <c r="BB62" s="12">
        <v>-900</v>
      </c>
      <c r="BC62" s="7" t="s">
        <v>12</v>
      </c>
      <c r="BD62" s="13">
        <v>1.54</v>
      </c>
      <c r="BE62" s="12">
        <v>-1386</v>
      </c>
      <c r="BF62" s="7" t="s">
        <v>178</v>
      </c>
      <c r="BG62" s="13">
        <v>2.85</v>
      </c>
      <c r="BH62" s="12">
        <v>-3950.1</v>
      </c>
      <c r="BI62" s="7"/>
      <c r="BJ62" s="13"/>
      <c r="BK62" s="12"/>
    </row>
    <row r="63" spans="1:63" x14ac:dyDescent="0.35">
      <c r="A63" s="7" t="s">
        <v>151</v>
      </c>
      <c r="B63" s="7" t="s">
        <v>152</v>
      </c>
      <c r="C63" s="7" t="s">
        <v>153</v>
      </c>
      <c r="D63" s="7"/>
      <c r="E63" s="7" t="s">
        <v>162</v>
      </c>
      <c r="F63" s="7" t="s">
        <v>154</v>
      </c>
      <c r="G63" s="7"/>
      <c r="H63" s="7"/>
      <c r="I63" s="7"/>
      <c r="J63" s="7"/>
      <c r="K63" s="7"/>
      <c r="L63" s="7" t="s">
        <v>155</v>
      </c>
      <c r="M63" s="7"/>
      <c r="N63" s="7"/>
      <c r="O63" s="7" t="s">
        <v>214</v>
      </c>
      <c r="P63" s="7" t="s">
        <v>215</v>
      </c>
      <c r="Q63" s="7" t="s">
        <v>158</v>
      </c>
      <c r="R63" s="7" t="s">
        <v>159</v>
      </c>
      <c r="S63" s="7" t="s">
        <v>160</v>
      </c>
      <c r="T63" s="7" t="s">
        <v>161</v>
      </c>
      <c r="U63" s="7"/>
      <c r="V63" s="7" t="s">
        <v>162</v>
      </c>
      <c r="W63" s="7" t="s">
        <v>163</v>
      </c>
      <c r="X63" s="7" t="s">
        <v>164</v>
      </c>
      <c r="Y63" s="7" t="s">
        <v>165</v>
      </c>
      <c r="Z63" s="7" t="s">
        <v>166</v>
      </c>
      <c r="AA63" s="7" t="s">
        <v>167</v>
      </c>
      <c r="AB63" s="7" t="s">
        <v>168</v>
      </c>
      <c r="AC63" s="7" t="s">
        <v>221</v>
      </c>
      <c r="AD63" s="7"/>
      <c r="AE63" s="7"/>
      <c r="AF63" s="7"/>
      <c r="AG63" s="7"/>
      <c r="AH63" s="7"/>
      <c r="AI63" s="7" t="s">
        <v>170</v>
      </c>
      <c r="AJ63" s="7" t="s">
        <v>171</v>
      </c>
      <c r="AK63" s="7" t="s">
        <v>172</v>
      </c>
      <c r="AL63" s="7"/>
      <c r="AM63" s="10">
        <v>2025</v>
      </c>
      <c r="AN63" s="10">
        <v>1</v>
      </c>
      <c r="AO63" s="9">
        <v>45688</v>
      </c>
      <c r="AP63" s="9">
        <v>45688</v>
      </c>
      <c r="AQ63" s="9">
        <v>45688</v>
      </c>
      <c r="AR63" s="7" t="s">
        <v>173</v>
      </c>
      <c r="AS63" s="7"/>
      <c r="AT63" s="7" t="s">
        <v>219</v>
      </c>
      <c r="AU63" s="7" t="s">
        <v>220</v>
      </c>
      <c r="AV63" s="7"/>
      <c r="AW63" s="7"/>
      <c r="AX63" s="7"/>
      <c r="AY63" s="7" t="s">
        <v>181</v>
      </c>
      <c r="AZ63" s="7" t="s">
        <v>214</v>
      </c>
      <c r="BA63" s="7" t="s">
        <v>9</v>
      </c>
      <c r="BB63" s="12">
        <v>900</v>
      </c>
      <c r="BC63" s="7" t="s">
        <v>12</v>
      </c>
      <c r="BD63" s="13">
        <v>1.54</v>
      </c>
      <c r="BE63" s="12">
        <v>1386</v>
      </c>
      <c r="BF63" s="7" t="s">
        <v>178</v>
      </c>
      <c r="BG63" s="13">
        <v>2.85</v>
      </c>
      <c r="BH63" s="12">
        <v>3950.1</v>
      </c>
      <c r="BI63" s="7"/>
      <c r="BJ63" s="13"/>
      <c r="BK63" s="12"/>
    </row>
    <row r="64" spans="1:63" x14ac:dyDescent="0.35">
      <c r="A64" s="7" t="s">
        <v>151</v>
      </c>
      <c r="B64" s="7" t="s">
        <v>152</v>
      </c>
      <c r="C64" s="7" t="s">
        <v>153</v>
      </c>
      <c r="D64" s="7"/>
      <c r="E64" s="7" t="s">
        <v>162</v>
      </c>
      <c r="F64" s="7" t="s">
        <v>154</v>
      </c>
      <c r="G64" s="7"/>
      <c r="H64" s="7"/>
      <c r="I64" s="7"/>
      <c r="J64" s="7"/>
      <c r="K64" s="7"/>
      <c r="L64" s="7" t="s">
        <v>155</v>
      </c>
      <c r="M64" s="7"/>
      <c r="N64" s="7"/>
      <c r="O64" s="7" t="s">
        <v>214</v>
      </c>
      <c r="P64" s="7" t="s">
        <v>215</v>
      </c>
      <c r="Q64" s="7" t="s">
        <v>158</v>
      </c>
      <c r="R64" s="7" t="s">
        <v>159</v>
      </c>
      <c r="S64" s="7" t="s">
        <v>160</v>
      </c>
      <c r="T64" s="7" t="s">
        <v>161</v>
      </c>
      <c r="U64" s="7"/>
      <c r="V64" s="7" t="s">
        <v>162</v>
      </c>
      <c r="W64" s="7" t="s">
        <v>163</v>
      </c>
      <c r="X64" s="7" t="s">
        <v>164</v>
      </c>
      <c r="Y64" s="7" t="s">
        <v>165</v>
      </c>
      <c r="Z64" s="7" t="s">
        <v>166</v>
      </c>
      <c r="AA64" s="7" t="s">
        <v>167</v>
      </c>
      <c r="AB64" s="7" t="s">
        <v>168</v>
      </c>
      <c r="AC64" s="7" t="s">
        <v>221</v>
      </c>
      <c r="AD64" s="7"/>
      <c r="AE64" s="7"/>
      <c r="AF64" s="7"/>
      <c r="AG64" s="7"/>
      <c r="AH64" s="7"/>
      <c r="AI64" s="7" t="s">
        <v>170</v>
      </c>
      <c r="AJ64" s="7" t="s">
        <v>171</v>
      </c>
      <c r="AK64" s="7" t="s">
        <v>172</v>
      </c>
      <c r="AL64" s="7"/>
      <c r="AM64" s="10">
        <v>2025</v>
      </c>
      <c r="AN64" s="10">
        <v>1</v>
      </c>
      <c r="AO64" s="9">
        <v>45688</v>
      </c>
      <c r="AP64" s="9">
        <v>45688</v>
      </c>
      <c r="AQ64" s="9">
        <v>45688</v>
      </c>
      <c r="AR64" s="7" t="s">
        <v>173</v>
      </c>
      <c r="AS64" s="7"/>
      <c r="AT64" s="7" t="s">
        <v>197</v>
      </c>
      <c r="AU64" s="7" t="s">
        <v>198</v>
      </c>
      <c r="AV64" s="7"/>
      <c r="AW64" s="7"/>
      <c r="AX64" s="7"/>
      <c r="AY64" s="7" t="s">
        <v>176</v>
      </c>
      <c r="AZ64" s="7" t="s">
        <v>214</v>
      </c>
      <c r="BA64" s="7" t="s">
        <v>9</v>
      </c>
      <c r="BB64" s="12">
        <v>-102336</v>
      </c>
      <c r="BC64" s="7" t="s">
        <v>12</v>
      </c>
      <c r="BD64" s="13">
        <v>1.54</v>
      </c>
      <c r="BE64" s="12">
        <v>-157597.44</v>
      </c>
      <c r="BF64" s="7" t="s">
        <v>178</v>
      </c>
      <c r="BG64" s="13">
        <v>2.85</v>
      </c>
      <c r="BH64" s="12">
        <v>-449152.71</v>
      </c>
      <c r="BI64" s="7"/>
      <c r="BJ64" s="13"/>
      <c r="BK64" s="12"/>
    </row>
    <row r="65" spans="1:63" x14ac:dyDescent="0.35">
      <c r="A65" s="7" t="s">
        <v>151</v>
      </c>
      <c r="B65" s="7" t="s">
        <v>152</v>
      </c>
      <c r="C65" s="7" t="s">
        <v>153</v>
      </c>
      <c r="D65" s="7"/>
      <c r="E65" s="7"/>
      <c r="F65" s="7" t="s">
        <v>154</v>
      </c>
      <c r="G65" s="7"/>
      <c r="H65" s="7"/>
      <c r="I65" s="7"/>
      <c r="J65" s="7"/>
      <c r="K65" s="7"/>
      <c r="L65" s="7" t="s">
        <v>155</v>
      </c>
      <c r="M65" s="7"/>
      <c r="N65" s="7"/>
      <c r="O65" s="7" t="s">
        <v>214</v>
      </c>
      <c r="P65" s="7" t="s">
        <v>215</v>
      </c>
      <c r="Q65" s="7" t="s">
        <v>158</v>
      </c>
      <c r="R65" s="7" t="s">
        <v>159</v>
      </c>
      <c r="S65" s="7" t="s">
        <v>160</v>
      </c>
      <c r="T65" s="7" t="s">
        <v>161</v>
      </c>
      <c r="U65" s="7"/>
      <c r="V65" s="7" t="s">
        <v>162</v>
      </c>
      <c r="W65" s="7" t="s">
        <v>163</v>
      </c>
      <c r="X65" s="7" t="s">
        <v>164</v>
      </c>
      <c r="Y65" s="7" t="s">
        <v>165</v>
      </c>
      <c r="Z65" s="7" t="s">
        <v>166</v>
      </c>
      <c r="AA65" s="7" t="s">
        <v>167</v>
      </c>
      <c r="AB65" s="7" t="s">
        <v>168</v>
      </c>
      <c r="AC65" s="7" t="s">
        <v>221</v>
      </c>
      <c r="AD65" s="7"/>
      <c r="AE65" s="7"/>
      <c r="AF65" s="7"/>
      <c r="AG65" s="7"/>
      <c r="AH65" s="7"/>
      <c r="AI65" s="7" t="s">
        <v>170</v>
      </c>
      <c r="AJ65" s="7" t="s">
        <v>171</v>
      </c>
      <c r="AK65" s="7" t="s">
        <v>172</v>
      </c>
      <c r="AL65" s="7"/>
      <c r="AM65" s="10">
        <v>2025</v>
      </c>
      <c r="AN65" s="10">
        <v>1</v>
      </c>
      <c r="AO65" s="9">
        <v>45688</v>
      </c>
      <c r="AP65" s="9">
        <v>45688</v>
      </c>
      <c r="AQ65" s="9">
        <v>45688</v>
      </c>
      <c r="AR65" s="7" t="s">
        <v>173</v>
      </c>
      <c r="AS65" s="7"/>
      <c r="AT65" s="7" t="s">
        <v>174</v>
      </c>
      <c r="AU65" s="7" t="s">
        <v>175</v>
      </c>
      <c r="AV65" s="7"/>
      <c r="AW65" s="7"/>
      <c r="AX65" s="7"/>
      <c r="AY65" s="7" t="s">
        <v>181</v>
      </c>
      <c r="AZ65" s="7" t="s">
        <v>214</v>
      </c>
      <c r="BA65" s="7" t="s">
        <v>9</v>
      </c>
      <c r="BB65" s="12">
        <v>102336</v>
      </c>
      <c r="BC65" s="7" t="s">
        <v>12</v>
      </c>
      <c r="BD65" s="13">
        <v>1.54</v>
      </c>
      <c r="BE65" s="12">
        <v>157597.44</v>
      </c>
      <c r="BF65" s="7" t="s">
        <v>178</v>
      </c>
      <c r="BG65" s="13">
        <v>2.85</v>
      </c>
      <c r="BH65" s="12">
        <v>449152.71</v>
      </c>
      <c r="BI65" s="7"/>
      <c r="BJ65" s="13"/>
      <c r="BK65" s="12"/>
    </row>
    <row r="66" spans="1:63" x14ac:dyDescent="0.35">
      <c r="A66" s="7" t="s">
        <v>151</v>
      </c>
      <c r="B66" s="7" t="s">
        <v>152</v>
      </c>
      <c r="C66" s="7" t="s">
        <v>153</v>
      </c>
      <c r="D66" s="7"/>
      <c r="E66" s="7"/>
      <c r="F66" s="7" t="s">
        <v>154</v>
      </c>
      <c r="G66" s="7"/>
      <c r="H66" s="7"/>
      <c r="I66" s="7"/>
      <c r="J66" s="7"/>
      <c r="K66" s="7"/>
      <c r="L66" s="7" t="s">
        <v>155</v>
      </c>
      <c r="M66" s="7"/>
      <c r="N66" s="7"/>
      <c r="O66" s="7" t="s">
        <v>222</v>
      </c>
      <c r="P66" s="7" t="s">
        <v>223</v>
      </c>
      <c r="Q66" s="7" t="s">
        <v>158</v>
      </c>
      <c r="R66" s="7" t="s">
        <v>159</v>
      </c>
      <c r="S66" s="7" t="s">
        <v>160</v>
      </c>
      <c r="T66" s="7" t="s">
        <v>161</v>
      </c>
      <c r="U66" s="7"/>
      <c r="V66" s="7" t="s">
        <v>162</v>
      </c>
      <c r="W66" s="7" t="s">
        <v>163</v>
      </c>
      <c r="X66" s="7" t="s">
        <v>164</v>
      </c>
      <c r="Y66" s="7" t="s">
        <v>165</v>
      </c>
      <c r="Z66" s="7" t="s">
        <v>166</v>
      </c>
      <c r="AA66" s="7" t="s">
        <v>167</v>
      </c>
      <c r="AB66" s="7" t="s">
        <v>168</v>
      </c>
      <c r="AC66" s="7" t="s">
        <v>224</v>
      </c>
      <c r="AD66" s="7"/>
      <c r="AE66" s="7"/>
      <c r="AF66" s="7"/>
      <c r="AG66" s="7"/>
      <c r="AH66" s="7"/>
      <c r="AI66" s="7" t="s">
        <v>170</v>
      </c>
      <c r="AJ66" s="7" t="s">
        <v>171</v>
      </c>
      <c r="AK66" s="7" t="s">
        <v>172</v>
      </c>
      <c r="AL66" s="7"/>
      <c r="AM66" s="10">
        <v>2025</v>
      </c>
      <c r="AN66" s="10">
        <v>1</v>
      </c>
      <c r="AO66" s="9">
        <v>45688</v>
      </c>
      <c r="AP66" s="9">
        <v>45688</v>
      </c>
      <c r="AQ66" s="9">
        <v>45688</v>
      </c>
      <c r="AR66" s="7" t="s">
        <v>173</v>
      </c>
      <c r="AS66" s="7" t="s">
        <v>225</v>
      </c>
      <c r="AT66" s="7" t="s">
        <v>226</v>
      </c>
      <c r="AU66" s="7" t="s">
        <v>227</v>
      </c>
      <c r="AV66" s="7"/>
      <c r="AW66" s="7"/>
      <c r="AX66" s="7"/>
      <c r="AY66" s="7" t="s">
        <v>176</v>
      </c>
      <c r="AZ66" s="7" t="s">
        <v>222</v>
      </c>
      <c r="BA66" s="7" t="s">
        <v>9</v>
      </c>
      <c r="BB66" s="12">
        <v>-7908.76</v>
      </c>
      <c r="BC66" s="7" t="s">
        <v>12</v>
      </c>
      <c r="BD66" s="13">
        <v>1.54</v>
      </c>
      <c r="BE66" s="12">
        <v>-12179.49</v>
      </c>
      <c r="BF66" s="7" t="s">
        <v>178</v>
      </c>
      <c r="BG66" s="13">
        <v>2.85</v>
      </c>
      <c r="BH66" s="12">
        <v>-34711.56</v>
      </c>
      <c r="BI66" s="7"/>
      <c r="BJ66" s="13"/>
      <c r="BK66" s="12"/>
    </row>
    <row r="67" spans="1:63" x14ac:dyDescent="0.35">
      <c r="A67" s="7" t="s">
        <v>151</v>
      </c>
      <c r="B67" s="7" t="s">
        <v>152</v>
      </c>
      <c r="C67" s="7" t="s">
        <v>153</v>
      </c>
      <c r="D67" s="7"/>
      <c r="E67" s="7" t="s">
        <v>162</v>
      </c>
      <c r="F67" s="7" t="s">
        <v>154</v>
      </c>
      <c r="G67" s="7"/>
      <c r="H67" s="7"/>
      <c r="I67" s="7"/>
      <c r="J67" s="7"/>
      <c r="K67" s="7"/>
      <c r="L67" s="7" t="s">
        <v>155</v>
      </c>
      <c r="M67" s="7"/>
      <c r="N67" s="7"/>
      <c r="O67" s="7" t="s">
        <v>222</v>
      </c>
      <c r="P67" s="7" t="s">
        <v>223</v>
      </c>
      <c r="Q67" s="7" t="s">
        <v>158</v>
      </c>
      <c r="R67" s="7" t="s">
        <v>159</v>
      </c>
      <c r="S67" s="7" t="s">
        <v>160</v>
      </c>
      <c r="T67" s="7" t="s">
        <v>161</v>
      </c>
      <c r="U67" s="7"/>
      <c r="V67" s="7" t="s">
        <v>162</v>
      </c>
      <c r="W67" s="7" t="s">
        <v>163</v>
      </c>
      <c r="X67" s="7" t="s">
        <v>164</v>
      </c>
      <c r="Y67" s="7" t="s">
        <v>165</v>
      </c>
      <c r="Z67" s="7" t="s">
        <v>166</v>
      </c>
      <c r="AA67" s="7" t="s">
        <v>167</v>
      </c>
      <c r="AB67" s="7" t="s">
        <v>168</v>
      </c>
      <c r="AC67" s="7" t="s">
        <v>224</v>
      </c>
      <c r="AD67" s="7"/>
      <c r="AE67" s="7"/>
      <c r="AF67" s="7"/>
      <c r="AG67" s="7"/>
      <c r="AH67" s="7"/>
      <c r="AI67" s="7" t="s">
        <v>170</v>
      </c>
      <c r="AJ67" s="7" t="s">
        <v>171</v>
      </c>
      <c r="AK67" s="7" t="s">
        <v>172</v>
      </c>
      <c r="AL67" s="7"/>
      <c r="AM67" s="10">
        <v>2025</v>
      </c>
      <c r="AN67" s="10">
        <v>1</v>
      </c>
      <c r="AO67" s="9">
        <v>45688</v>
      </c>
      <c r="AP67" s="9">
        <v>45688</v>
      </c>
      <c r="AQ67" s="9">
        <v>45688</v>
      </c>
      <c r="AR67" s="7" t="s">
        <v>173</v>
      </c>
      <c r="AS67" s="7" t="s">
        <v>225</v>
      </c>
      <c r="AT67" s="7" t="s">
        <v>228</v>
      </c>
      <c r="AU67" s="7" t="s">
        <v>229</v>
      </c>
      <c r="AV67" s="7"/>
      <c r="AW67" s="7"/>
      <c r="AX67" s="7"/>
      <c r="AY67" s="7" t="s">
        <v>181</v>
      </c>
      <c r="AZ67" s="7" t="s">
        <v>222</v>
      </c>
      <c r="BA67" s="7" t="s">
        <v>9</v>
      </c>
      <c r="BB67" s="12">
        <v>7908.76</v>
      </c>
      <c r="BC67" s="7" t="s">
        <v>12</v>
      </c>
      <c r="BD67" s="13">
        <v>1.54</v>
      </c>
      <c r="BE67" s="12">
        <v>12179.49</v>
      </c>
      <c r="BF67" s="7" t="s">
        <v>178</v>
      </c>
      <c r="BG67" s="13">
        <v>2.85</v>
      </c>
      <c r="BH67" s="12">
        <v>34711.56</v>
      </c>
      <c r="BI67" s="7"/>
      <c r="BJ67" s="13"/>
      <c r="BK67" s="12"/>
    </row>
    <row r="68" spans="1:63" x14ac:dyDescent="0.35">
      <c r="A68" s="7" t="s">
        <v>151</v>
      </c>
      <c r="B68" s="7" t="s">
        <v>152</v>
      </c>
      <c r="C68" s="7" t="s">
        <v>153</v>
      </c>
      <c r="D68" s="7"/>
      <c r="E68" s="7"/>
      <c r="F68" s="7" t="s">
        <v>154</v>
      </c>
      <c r="G68" s="7"/>
      <c r="H68" s="7"/>
      <c r="I68" s="7"/>
      <c r="J68" s="7"/>
      <c r="K68" s="7"/>
      <c r="L68" s="7" t="s">
        <v>155</v>
      </c>
      <c r="M68" s="7"/>
      <c r="N68" s="7"/>
      <c r="O68" s="7" t="s">
        <v>222</v>
      </c>
      <c r="P68" s="7" t="s">
        <v>223</v>
      </c>
      <c r="Q68" s="7" t="s">
        <v>158</v>
      </c>
      <c r="R68" s="7" t="s">
        <v>159</v>
      </c>
      <c r="S68" s="7" t="s">
        <v>160</v>
      </c>
      <c r="T68" s="7" t="s">
        <v>161</v>
      </c>
      <c r="U68" s="7"/>
      <c r="V68" s="7" t="s">
        <v>162</v>
      </c>
      <c r="W68" s="7" t="s">
        <v>163</v>
      </c>
      <c r="X68" s="7" t="s">
        <v>164</v>
      </c>
      <c r="Y68" s="7" t="s">
        <v>187</v>
      </c>
      <c r="Z68" s="7" t="s">
        <v>188</v>
      </c>
      <c r="AA68" s="7" t="s">
        <v>167</v>
      </c>
      <c r="AB68" s="7" t="s">
        <v>168</v>
      </c>
      <c r="AC68" s="7" t="s">
        <v>230</v>
      </c>
      <c r="AD68" s="7"/>
      <c r="AE68" s="7"/>
      <c r="AF68" s="7"/>
      <c r="AG68" s="7"/>
      <c r="AH68" s="7"/>
      <c r="AI68" s="7" t="s">
        <v>170</v>
      </c>
      <c r="AJ68" s="7" t="s">
        <v>171</v>
      </c>
      <c r="AK68" s="7" t="s">
        <v>172</v>
      </c>
      <c r="AL68" s="7"/>
      <c r="AM68" s="10">
        <v>2025</v>
      </c>
      <c r="AN68" s="10">
        <v>1</v>
      </c>
      <c r="AO68" s="9">
        <v>45688</v>
      </c>
      <c r="AP68" s="9">
        <v>45688</v>
      </c>
      <c r="AQ68" s="9">
        <v>45688</v>
      </c>
      <c r="AR68" s="7" t="s">
        <v>173</v>
      </c>
      <c r="AS68" s="7" t="s">
        <v>231</v>
      </c>
      <c r="AT68" s="7" t="s">
        <v>226</v>
      </c>
      <c r="AU68" s="7" t="s">
        <v>227</v>
      </c>
      <c r="AV68" s="7"/>
      <c r="AW68" s="7"/>
      <c r="AX68" s="7"/>
      <c r="AY68" s="7" t="s">
        <v>176</v>
      </c>
      <c r="AZ68" s="7" t="s">
        <v>222</v>
      </c>
      <c r="BA68" s="7" t="s">
        <v>9</v>
      </c>
      <c r="BB68" s="12">
        <v>-7818.19</v>
      </c>
      <c r="BC68" s="7" t="s">
        <v>12</v>
      </c>
      <c r="BD68" s="13">
        <v>1.54</v>
      </c>
      <c r="BE68" s="12">
        <v>-12040.01</v>
      </c>
      <c r="BF68" s="7" t="s">
        <v>178</v>
      </c>
      <c r="BG68" s="13">
        <v>2.85</v>
      </c>
      <c r="BH68" s="12">
        <v>-34314.03</v>
      </c>
      <c r="BI68" s="7"/>
      <c r="BJ68" s="13"/>
      <c r="BK68" s="12"/>
    </row>
    <row r="69" spans="1:63" x14ac:dyDescent="0.35">
      <c r="A69" s="7" t="s">
        <v>151</v>
      </c>
      <c r="B69" s="7" t="s">
        <v>152</v>
      </c>
      <c r="C69" s="7" t="s">
        <v>153</v>
      </c>
      <c r="D69" s="7"/>
      <c r="E69" s="7" t="s">
        <v>162</v>
      </c>
      <c r="F69" s="7" t="s">
        <v>154</v>
      </c>
      <c r="G69" s="7"/>
      <c r="H69" s="7"/>
      <c r="I69" s="7"/>
      <c r="J69" s="7"/>
      <c r="K69" s="7"/>
      <c r="L69" s="7" t="s">
        <v>155</v>
      </c>
      <c r="M69" s="7"/>
      <c r="N69" s="7"/>
      <c r="O69" s="7" t="s">
        <v>222</v>
      </c>
      <c r="P69" s="7" t="s">
        <v>223</v>
      </c>
      <c r="Q69" s="7" t="s">
        <v>158</v>
      </c>
      <c r="R69" s="7" t="s">
        <v>159</v>
      </c>
      <c r="S69" s="7" t="s">
        <v>160</v>
      </c>
      <c r="T69" s="7" t="s">
        <v>161</v>
      </c>
      <c r="U69" s="7"/>
      <c r="V69" s="7" t="s">
        <v>162</v>
      </c>
      <c r="W69" s="7" t="s">
        <v>163</v>
      </c>
      <c r="X69" s="7" t="s">
        <v>164</v>
      </c>
      <c r="Y69" s="7" t="s">
        <v>187</v>
      </c>
      <c r="Z69" s="7" t="s">
        <v>188</v>
      </c>
      <c r="AA69" s="7" t="s">
        <v>167</v>
      </c>
      <c r="AB69" s="7" t="s">
        <v>168</v>
      </c>
      <c r="AC69" s="7" t="s">
        <v>230</v>
      </c>
      <c r="AD69" s="7"/>
      <c r="AE69" s="7"/>
      <c r="AF69" s="7"/>
      <c r="AG69" s="7"/>
      <c r="AH69" s="7"/>
      <c r="AI69" s="7" t="s">
        <v>170</v>
      </c>
      <c r="AJ69" s="7" t="s">
        <v>171</v>
      </c>
      <c r="AK69" s="7" t="s">
        <v>172</v>
      </c>
      <c r="AL69" s="7"/>
      <c r="AM69" s="10">
        <v>2025</v>
      </c>
      <c r="AN69" s="10">
        <v>1</v>
      </c>
      <c r="AO69" s="9">
        <v>45688</v>
      </c>
      <c r="AP69" s="9">
        <v>45688</v>
      </c>
      <c r="AQ69" s="9">
        <v>45688</v>
      </c>
      <c r="AR69" s="7" t="s">
        <v>173</v>
      </c>
      <c r="AS69" s="7" t="s">
        <v>231</v>
      </c>
      <c r="AT69" s="7" t="s">
        <v>228</v>
      </c>
      <c r="AU69" s="7" t="s">
        <v>229</v>
      </c>
      <c r="AV69" s="7"/>
      <c r="AW69" s="7"/>
      <c r="AX69" s="7"/>
      <c r="AY69" s="7" t="s">
        <v>181</v>
      </c>
      <c r="AZ69" s="7" t="s">
        <v>222</v>
      </c>
      <c r="BA69" s="7" t="s">
        <v>9</v>
      </c>
      <c r="BB69" s="12">
        <v>7818.19</v>
      </c>
      <c r="BC69" s="7" t="s">
        <v>12</v>
      </c>
      <c r="BD69" s="13">
        <v>1.54</v>
      </c>
      <c r="BE69" s="12">
        <v>12040.01</v>
      </c>
      <c r="BF69" s="7" t="s">
        <v>178</v>
      </c>
      <c r="BG69" s="13">
        <v>2.85</v>
      </c>
      <c r="BH69" s="12">
        <v>34314.03</v>
      </c>
      <c r="BI69" s="7"/>
      <c r="BJ69" s="13"/>
      <c r="BK69" s="12"/>
    </row>
    <row r="70" spans="1:63" x14ac:dyDescent="0.35">
      <c r="A70" s="7" t="s">
        <v>151</v>
      </c>
      <c r="B70" s="7" t="s">
        <v>152</v>
      </c>
      <c r="C70" s="7" t="s">
        <v>153</v>
      </c>
      <c r="D70" s="7"/>
      <c r="E70" s="7"/>
      <c r="F70" s="7" t="s">
        <v>203</v>
      </c>
      <c r="G70" s="7"/>
      <c r="H70" s="7"/>
      <c r="I70" s="7"/>
      <c r="J70" s="7"/>
      <c r="K70" s="7"/>
      <c r="L70" s="7" t="s">
        <v>155</v>
      </c>
      <c r="M70" s="7"/>
      <c r="N70" s="7"/>
      <c r="O70" s="7" t="s">
        <v>214</v>
      </c>
      <c r="P70" s="7" t="s">
        <v>215</v>
      </c>
      <c r="Q70" s="7" t="s">
        <v>204</v>
      </c>
      <c r="R70" s="7" t="s">
        <v>205</v>
      </c>
      <c r="S70" s="7" t="s">
        <v>206</v>
      </c>
      <c r="T70" s="7" t="s">
        <v>207</v>
      </c>
      <c r="U70" s="7"/>
      <c r="V70" s="7" t="s">
        <v>208</v>
      </c>
      <c r="W70" s="7" t="s">
        <v>163</v>
      </c>
      <c r="X70" s="7" t="s">
        <v>164</v>
      </c>
      <c r="Y70" s="7" t="s">
        <v>187</v>
      </c>
      <c r="Z70" s="7" t="s">
        <v>188</v>
      </c>
      <c r="AA70" s="7" t="s">
        <v>167</v>
      </c>
      <c r="AB70" s="7" t="s">
        <v>209</v>
      </c>
      <c r="AC70" s="7" t="s">
        <v>232</v>
      </c>
      <c r="AD70" s="7"/>
      <c r="AE70" s="7"/>
      <c r="AF70" s="7"/>
      <c r="AG70" s="7"/>
      <c r="AH70" s="7"/>
      <c r="AI70" s="7" t="s">
        <v>170</v>
      </c>
      <c r="AJ70" s="7" t="s">
        <v>171</v>
      </c>
      <c r="AK70" s="7" t="s">
        <v>172</v>
      </c>
      <c r="AL70" s="7"/>
      <c r="AM70" s="10">
        <v>2025</v>
      </c>
      <c r="AN70" s="10">
        <v>1</v>
      </c>
      <c r="AO70" s="9">
        <v>45688</v>
      </c>
      <c r="AP70" s="9">
        <v>45688</v>
      </c>
      <c r="AQ70" s="9">
        <v>45688</v>
      </c>
      <c r="AR70" s="7" t="s">
        <v>173</v>
      </c>
      <c r="AS70" s="7"/>
      <c r="AT70" s="7" t="s">
        <v>211</v>
      </c>
      <c r="AU70" s="7" t="s">
        <v>212</v>
      </c>
      <c r="AV70" s="7"/>
      <c r="AW70" s="7"/>
      <c r="AX70" s="7"/>
      <c r="AY70" s="7" t="s">
        <v>176</v>
      </c>
      <c r="AZ70" s="7" t="s">
        <v>214</v>
      </c>
      <c r="BA70" s="7" t="s">
        <v>178</v>
      </c>
      <c r="BB70" s="12">
        <v>-147.72</v>
      </c>
      <c r="BC70" s="7" t="s">
        <v>12</v>
      </c>
      <c r="BD70" s="13">
        <v>1.37</v>
      </c>
      <c r="BE70" s="12">
        <v>-202.38</v>
      </c>
      <c r="BF70" s="7" t="s">
        <v>178</v>
      </c>
      <c r="BG70" s="13">
        <v>2.85</v>
      </c>
      <c r="BH70" s="12">
        <v>-576.78</v>
      </c>
      <c r="BI70" s="7"/>
      <c r="BJ70" s="13"/>
      <c r="BK70" s="12"/>
    </row>
    <row r="71" spans="1:63" x14ac:dyDescent="0.35">
      <c r="A71" s="7" t="s">
        <v>151</v>
      </c>
      <c r="B71" s="7" t="s">
        <v>152</v>
      </c>
      <c r="C71" s="7" t="s">
        <v>153</v>
      </c>
      <c r="D71" s="7"/>
      <c r="E71" s="7" t="s">
        <v>208</v>
      </c>
      <c r="F71" s="7" t="s">
        <v>203</v>
      </c>
      <c r="G71" s="7"/>
      <c r="H71" s="7"/>
      <c r="I71" s="7"/>
      <c r="J71" s="7"/>
      <c r="K71" s="7"/>
      <c r="L71" s="7" t="s">
        <v>155</v>
      </c>
      <c r="M71" s="7"/>
      <c r="N71" s="7"/>
      <c r="O71" s="7" t="s">
        <v>214</v>
      </c>
      <c r="P71" s="7" t="s">
        <v>215</v>
      </c>
      <c r="Q71" s="7" t="s">
        <v>204</v>
      </c>
      <c r="R71" s="7" t="s">
        <v>205</v>
      </c>
      <c r="S71" s="7" t="s">
        <v>206</v>
      </c>
      <c r="T71" s="7" t="s">
        <v>207</v>
      </c>
      <c r="U71" s="7"/>
      <c r="V71" s="7" t="s">
        <v>208</v>
      </c>
      <c r="W71" s="7" t="s">
        <v>163</v>
      </c>
      <c r="X71" s="7" t="s">
        <v>164</v>
      </c>
      <c r="Y71" s="7" t="s">
        <v>187</v>
      </c>
      <c r="Z71" s="7" t="s">
        <v>188</v>
      </c>
      <c r="AA71" s="7" t="s">
        <v>167</v>
      </c>
      <c r="AB71" s="7" t="s">
        <v>209</v>
      </c>
      <c r="AC71" s="7" t="s">
        <v>232</v>
      </c>
      <c r="AD71" s="7"/>
      <c r="AE71" s="7"/>
      <c r="AF71" s="7"/>
      <c r="AG71" s="7"/>
      <c r="AH71" s="7"/>
      <c r="AI71" s="7" t="s">
        <v>170</v>
      </c>
      <c r="AJ71" s="7" t="s">
        <v>171</v>
      </c>
      <c r="AK71" s="7" t="s">
        <v>172</v>
      </c>
      <c r="AL71" s="7"/>
      <c r="AM71" s="10">
        <v>2025</v>
      </c>
      <c r="AN71" s="10">
        <v>1</v>
      </c>
      <c r="AO71" s="9">
        <v>45688</v>
      </c>
      <c r="AP71" s="9">
        <v>45688</v>
      </c>
      <c r="AQ71" s="9">
        <v>45688</v>
      </c>
      <c r="AR71" s="7" t="s">
        <v>173</v>
      </c>
      <c r="AS71" s="7"/>
      <c r="AT71" s="7" t="s">
        <v>217</v>
      </c>
      <c r="AU71" s="7" t="s">
        <v>218</v>
      </c>
      <c r="AV71" s="7"/>
      <c r="AW71" s="7"/>
      <c r="AX71" s="7"/>
      <c r="AY71" s="7" t="s">
        <v>181</v>
      </c>
      <c r="AZ71" s="7" t="s">
        <v>214</v>
      </c>
      <c r="BA71" s="7" t="s">
        <v>178</v>
      </c>
      <c r="BB71" s="12">
        <v>147.72</v>
      </c>
      <c r="BC71" s="7" t="s">
        <v>12</v>
      </c>
      <c r="BD71" s="13">
        <v>1.37</v>
      </c>
      <c r="BE71" s="12">
        <v>202.38</v>
      </c>
      <c r="BF71" s="7" t="s">
        <v>178</v>
      </c>
      <c r="BG71" s="13">
        <v>2.85</v>
      </c>
      <c r="BH71" s="12">
        <v>576.78</v>
      </c>
      <c r="BI71" s="7"/>
      <c r="BJ71" s="13"/>
      <c r="BK71" s="12"/>
    </row>
    <row r="72" spans="1:63" x14ac:dyDescent="0.35">
      <c r="A72" s="7" t="s">
        <v>151</v>
      </c>
      <c r="B72" s="7" t="s">
        <v>152</v>
      </c>
      <c r="C72" s="7" t="s">
        <v>153</v>
      </c>
      <c r="D72" s="7"/>
      <c r="E72" s="7"/>
      <c r="F72" s="7" t="s">
        <v>203</v>
      </c>
      <c r="G72" s="7"/>
      <c r="H72" s="7"/>
      <c r="I72" s="7"/>
      <c r="J72" s="7"/>
      <c r="K72" s="7"/>
      <c r="L72" s="7" t="s">
        <v>155</v>
      </c>
      <c r="M72" s="7"/>
      <c r="N72" s="7"/>
      <c r="O72" s="7" t="s">
        <v>214</v>
      </c>
      <c r="P72" s="7" t="s">
        <v>215</v>
      </c>
      <c r="Q72" s="7" t="s">
        <v>204</v>
      </c>
      <c r="R72" s="7" t="s">
        <v>205</v>
      </c>
      <c r="S72" s="7" t="s">
        <v>206</v>
      </c>
      <c r="T72" s="7" t="s">
        <v>207</v>
      </c>
      <c r="U72" s="7"/>
      <c r="V72" s="7" t="s">
        <v>208</v>
      </c>
      <c r="W72" s="7" t="s">
        <v>163</v>
      </c>
      <c r="X72" s="7" t="s">
        <v>164</v>
      </c>
      <c r="Y72" s="7" t="s">
        <v>187</v>
      </c>
      <c r="Z72" s="7" t="s">
        <v>188</v>
      </c>
      <c r="AA72" s="7" t="s">
        <v>167</v>
      </c>
      <c r="AB72" s="7" t="s">
        <v>209</v>
      </c>
      <c r="AC72" s="7" t="s">
        <v>232</v>
      </c>
      <c r="AD72" s="7"/>
      <c r="AE72" s="7"/>
      <c r="AF72" s="7"/>
      <c r="AG72" s="7"/>
      <c r="AH72" s="7"/>
      <c r="AI72" s="7" t="s">
        <v>170</v>
      </c>
      <c r="AJ72" s="7" t="s">
        <v>171</v>
      </c>
      <c r="AK72" s="7" t="s">
        <v>172</v>
      </c>
      <c r="AL72" s="7"/>
      <c r="AM72" s="10">
        <v>2025</v>
      </c>
      <c r="AN72" s="10">
        <v>1</v>
      </c>
      <c r="AO72" s="9">
        <v>45688</v>
      </c>
      <c r="AP72" s="9">
        <v>45688</v>
      </c>
      <c r="AQ72" s="9">
        <v>45688</v>
      </c>
      <c r="AR72" s="7" t="s">
        <v>173</v>
      </c>
      <c r="AS72" s="7"/>
      <c r="AT72" s="7" t="s">
        <v>202</v>
      </c>
      <c r="AU72" s="7" t="s">
        <v>200</v>
      </c>
      <c r="AV72" s="7"/>
      <c r="AW72" s="7"/>
      <c r="AX72" s="7"/>
      <c r="AY72" s="7" t="s">
        <v>176</v>
      </c>
      <c r="AZ72" s="7" t="s">
        <v>214</v>
      </c>
      <c r="BA72" s="7" t="s">
        <v>178</v>
      </c>
      <c r="BB72" s="12">
        <v>-250</v>
      </c>
      <c r="BC72" s="7" t="s">
        <v>12</v>
      </c>
      <c r="BD72" s="13">
        <v>1.37</v>
      </c>
      <c r="BE72" s="12">
        <v>-342.5</v>
      </c>
      <c r="BF72" s="7" t="s">
        <v>178</v>
      </c>
      <c r="BG72" s="13">
        <v>2.85</v>
      </c>
      <c r="BH72" s="12">
        <v>-976.13</v>
      </c>
      <c r="BI72" s="7"/>
      <c r="BJ72" s="13"/>
      <c r="BK72" s="12"/>
    </row>
    <row r="73" spans="1:63" x14ac:dyDescent="0.35">
      <c r="A73" s="7" t="s">
        <v>151</v>
      </c>
      <c r="B73" s="7" t="s">
        <v>152</v>
      </c>
      <c r="C73" s="7" t="s">
        <v>153</v>
      </c>
      <c r="D73" s="7"/>
      <c r="E73" s="7" t="s">
        <v>208</v>
      </c>
      <c r="F73" s="7" t="s">
        <v>203</v>
      </c>
      <c r="G73" s="7"/>
      <c r="H73" s="7"/>
      <c r="I73" s="7"/>
      <c r="J73" s="7"/>
      <c r="K73" s="7"/>
      <c r="L73" s="7" t="s">
        <v>155</v>
      </c>
      <c r="M73" s="7"/>
      <c r="N73" s="7"/>
      <c r="O73" s="7" t="s">
        <v>214</v>
      </c>
      <c r="P73" s="7" t="s">
        <v>215</v>
      </c>
      <c r="Q73" s="7" t="s">
        <v>204</v>
      </c>
      <c r="R73" s="7" t="s">
        <v>205</v>
      </c>
      <c r="S73" s="7" t="s">
        <v>206</v>
      </c>
      <c r="T73" s="7" t="s">
        <v>207</v>
      </c>
      <c r="U73" s="7"/>
      <c r="V73" s="7" t="s">
        <v>208</v>
      </c>
      <c r="W73" s="7" t="s">
        <v>163</v>
      </c>
      <c r="X73" s="7" t="s">
        <v>164</v>
      </c>
      <c r="Y73" s="7" t="s">
        <v>187</v>
      </c>
      <c r="Z73" s="7" t="s">
        <v>188</v>
      </c>
      <c r="AA73" s="7" t="s">
        <v>167</v>
      </c>
      <c r="AB73" s="7" t="s">
        <v>209</v>
      </c>
      <c r="AC73" s="7" t="s">
        <v>232</v>
      </c>
      <c r="AD73" s="7"/>
      <c r="AE73" s="7"/>
      <c r="AF73" s="7"/>
      <c r="AG73" s="7"/>
      <c r="AH73" s="7"/>
      <c r="AI73" s="7" t="s">
        <v>170</v>
      </c>
      <c r="AJ73" s="7" t="s">
        <v>171</v>
      </c>
      <c r="AK73" s="7" t="s">
        <v>172</v>
      </c>
      <c r="AL73" s="7"/>
      <c r="AM73" s="10">
        <v>2025</v>
      </c>
      <c r="AN73" s="10">
        <v>1</v>
      </c>
      <c r="AO73" s="9">
        <v>45688</v>
      </c>
      <c r="AP73" s="9">
        <v>45688</v>
      </c>
      <c r="AQ73" s="9">
        <v>45688</v>
      </c>
      <c r="AR73" s="7" t="s">
        <v>173</v>
      </c>
      <c r="AS73" s="7"/>
      <c r="AT73" s="7" t="s">
        <v>233</v>
      </c>
      <c r="AU73" s="7" t="s">
        <v>234</v>
      </c>
      <c r="AV73" s="7"/>
      <c r="AW73" s="7"/>
      <c r="AX73" s="7"/>
      <c r="AY73" s="7" t="s">
        <v>181</v>
      </c>
      <c r="AZ73" s="7" t="s">
        <v>214</v>
      </c>
      <c r="BA73" s="7" t="s">
        <v>178</v>
      </c>
      <c r="BB73" s="12">
        <v>250</v>
      </c>
      <c r="BC73" s="7" t="s">
        <v>12</v>
      </c>
      <c r="BD73" s="13">
        <v>1.37</v>
      </c>
      <c r="BE73" s="12">
        <v>342.5</v>
      </c>
      <c r="BF73" s="7" t="s">
        <v>178</v>
      </c>
      <c r="BG73" s="13">
        <v>2.85</v>
      </c>
      <c r="BH73" s="12">
        <v>976.13</v>
      </c>
      <c r="BI73" s="7"/>
      <c r="BJ73" s="13"/>
      <c r="BK73" s="12"/>
    </row>
    <row r="74" spans="1:63" x14ac:dyDescent="0.35">
      <c r="A74" s="7" t="s">
        <v>151</v>
      </c>
      <c r="B74" s="7" t="s">
        <v>152</v>
      </c>
      <c r="C74" s="7" t="s">
        <v>153</v>
      </c>
      <c r="D74" s="7"/>
      <c r="E74" s="7" t="s">
        <v>208</v>
      </c>
      <c r="F74" s="7" t="s">
        <v>203</v>
      </c>
      <c r="G74" s="7"/>
      <c r="H74" s="7"/>
      <c r="I74" s="7"/>
      <c r="J74" s="7"/>
      <c r="K74" s="7"/>
      <c r="L74" s="7" t="s">
        <v>155</v>
      </c>
      <c r="M74" s="7"/>
      <c r="N74" s="7"/>
      <c r="O74" s="7" t="s">
        <v>214</v>
      </c>
      <c r="P74" s="7" t="s">
        <v>215</v>
      </c>
      <c r="Q74" s="7" t="s">
        <v>204</v>
      </c>
      <c r="R74" s="7" t="s">
        <v>205</v>
      </c>
      <c r="S74" s="7" t="s">
        <v>206</v>
      </c>
      <c r="T74" s="7" t="s">
        <v>207</v>
      </c>
      <c r="U74" s="7"/>
      <c r="V74" s="7" t="s">
        <v>208</v>
      </c>
      <c r="W74" s="7" t="s">
        <v>163</v>
      </c>
      <c r="X74" s="7" t="s">
        <v>164</v>
      </c>
      <c r="Y74" s="7" t="s">
        <v>187</v>
      </c>
      <c r="Z74" s="7" t="s">
        <v>188</v>
      </c>
      <c r="AA74" s="7" t="s">
        <v>167</v>
      </c>
      <c r="AB74" s="7" t="s">
        <v>209</v>
      </c>
      <c r="AC74" s="7" t="s">
        <v>232</v>
      </c>
      <c r="AD74" s="7"/>
      <c r="AE74" s="7"/>
      <c r="AF74" s="7"/>
      <c r="AG74" s="7"/>
      <c r="AH74" s="7"/>
      <c r="AI74" s="7" t="s">
        <v>170</v>
      </c>
      <c r="AJ74" s="7" t="s">
        <v>171</v>
      </c>
      <c r="AK74" s="7" t="s">
        <v>172</v>
      </c>
      <c r="AL74" s="7"/>
      <c r="AM74" s="10">
        <v>2025</v>
      </c>
      <c r="AN74" s="10">
        <v>1</v>
      </c>
      <c r="AO74" s="9">
        <v>45688</v>
      </c>
      <c r="AP74" s="9">
        <v>45688</v>
      </c>
      <c r="AQ74" s="9">
        <v>45688</v>
      </c>
      <c r="AR74" s="7" t="s">
        <v>173</v>
      </c>
      <c r="AS74" s="7"/>
      <c r="AT74" s="7" t="s">
        <v>197</v>
      </c>
      <c r="AU74" s="7" t="s">
        <v>198</v>
      </c>
      <c r="AV74" s="7"/>
      <c r="AW74" s="7"/>
      <c r="AX74" s="7"/>
      <c r="AY74" s="7" t="s">
        <v>176</v>
      </c>
      <c r="AZ74" s="7" t="s">
        <v>214</v>
      </c>
      <c r="BA74" s="7" t="s">
        <v>178</v>
      </c>
      <c r="BB74" s="12">
        <v>-6422.5</v>
      </c>
      <c r="BC74" s="7" t="s">
        <v>12</v>
      </c>
      <c r="BD74" s="13">
        <v>1.37</v>
      </c>
      <c r="BE74" s="12">
        <v>-8798.83</v>
      </c>
      <c r="BF74" s="7" t="s">
        <v>178</v>
      </c>
      <c r="BG74" s="13">
        <v>2.85</v>
      </c>
      <c r="BH74" s="12">
        <v>-25076.67</v>
      </c>
      <c r="BI74" s="7"/>
      <c r="BJ74" s="13"/>
      <c r="BK74" s="12"/>
    </row>
    <row r="75" spans="1:63" x14ac:dyDescent="0.35">
      <c r="A75" s="7" t="s">
        <v>151</v>
      </c>
      <c r="B75" s="7" t="s">
        <v>152</v>
      </c>
      <c r="C75" s="7" t="s">
        <v>153</v>
      </c>
      <c r="D75" s="7"/>
      <c r="E75" s="7"/>
      <c r="F75" s="7" t="s">
        <v>203</v>
      </c>
      <c r="G75" s="7"/>
      <c r="H75" s="7"/>
      <c r="I75" s="7"/>
      <c r="J75" s="7"/>
      <c r="K75" s="7"/>
      <c r="L75" s="7" t="s">
        <v>155</v>
      </c>
      <c r="M75" s="7"/>
      <c r="N75" s="7"/>
      <c r="O75" s="7" t="s">
        <v>214</v>
      </c>
      <c r="P75" s="7" t="s">
        <v>215</v>
      </c>
      <c r="Q75" s="7" t="s">
        <v>204</v>
      </c>
      <c r="R75" s="7" t="s">
        <v>205</v>
      </c>
      <c r="S75" s="7" t="s">
        <v>206</v>
      </c>
      <c r="T75" s="7" t="s">
        <v>207</v>
      </c>
      <c r="U75" s="7"/>
      <c r="V75" s="7" t="s">
        <v>208</v>
      </c>
      <c r="W75" s="7" t="s">
        <v>163</v>
      </c>
      <c r="X75" s="7" t="s">
        <v>164</v>
      </c>
      <c r="Y75" s="7" t="s">
        <v>187</v>
      </c>
      <c r="Z75" s="7" t="s">
        <v>188</v>
      </c>
      <c r="AA75" s="7" t="s">
        <v>167</v>
      </c>
      <c r="AB75" s="7" t="s">
        <v>209</v>
      </c>
      <c r="AC75" s="7" t="s">
        <v>232</v>
      </c>
      <c r="AD75" s="7"/>
      <c r="AE75" s="7"/>
      <c r="AF75" s="7"/>
      <c r="AG75" s="7"/>
      <c r="AH75" s="7"/>
      <c r="AI75" s="7" t="s">
        <v>170</v>
      </c>
      <c r="AJ75" s="7" t="s">
        <v>171</v>
      </c>
      <c r="AK75" s="7" t="s">
        <v>172</v>
      </c>
      <c r="AL75" s="7"/>
      <c r="AM75" s="10">
        <v>2025</v>
      </c>
      <c r="AN75" s="10">
        <v>1</v>
      </c>
      <c r="AO75" s="9">
        <v>45688</v>
      </c>
      <c r="AP75" s="9">
        <v>45688</v>
      </c>
      <c r="AQ75" s="9">
        <v>45688</v>
      </c>
      <c r="AR75" s="7" t="s">
        <v>173</v>
      </c>
      <c r="AS75" s="7"/>
      <c r="AT75" s="7" t="s">
        <v>174</v>
      </c>
      <c r="AU75" s="7" t="s">
        <v>175</v>
      </c>
      <c r="AV75" s="7"/>
      <c r="AW75" s="7"/>
      <c r="AX75" s="7"/>
      <c r="AY75" s="7" t="s">
        <v>181</v>
      </c>
      <c r="AZ75" s="7" t="s">
        <v>214</v>
      </c>
      <c r="BA75" s="7" t="s">
        <v>178</v>
      </c>
      <c r="BB75" s="12">
        <v>6422.5</v>
      </c>
      <c r="BC75" s="7" t="s">
        <v>12</v>
      </c>
      <c r="BD75" s="13">
        <v>1.37</v>
      </c>
      <c r="BE75" s="12">
        <v>8798.83</v>
      </c>
      <c r="BF75" s="7" t="s">
        <v>178</v>
      </c>
      <c r="BG75" s="13">
        <v>2.85</v>
      </c>
      <c r="BH75" s="12">
        <v>25076.67</v>
      </c>
      <c r="BI75" s="7"/>
      <c r="BJ75" s="13"/>
      <c r="BK75" s="12"/>
    </row>
    <row r="76" spans="1:63" x14ac:dyDescent="0.35">
      <c r="A76" s="7" t="s">
        <v>151</v>
      </c>
      <c r="B76" s="7" t="s">
        <v>152</v>
      </c>
      <c r="C76" s="7" t="s">
        <v>153</v>
      </c>
      <c r="D76" s="7"/>
      <c r="E76" s="7"/>
      <c r="F76" s="7" t="s">
        <v>203</v>
      </c>
      <c r="G76" s="7"/>
      <c r="H76" s="7"/>
      <c r="I76" s="7"/>
      <c r="J76" s="7"/>
      <c r="K76" s="7"/>
      <c r="L76" s="7" t="s">
        <v>155</v>
      </c>
      <c r="M76" s="7"/>
      <c r="N76" s="7"/>
      <c r="O76" s="7" t="s">
        <v>222</v>
      </c>
      <c r="P76" s="7" t="s">
        <v>223</v>
      </c>
      <c r="Q76" s="7" t="s">
        <v>204</v>
      </c>
      <c r="R76" s="7" t="s">
        <v>205</v>
      </c>
      <c r="S76" s="7" t="s">
        <v>206</v>
      </c>
      <c r="T76" s="7" t="s">
        <v>207</v>
      </c>
      <c r="U76" s="7"/>
      <c r="V76" s="7" t="s">
        <v>208</v>
      </c>
      <c r="W76" s="7" t="s">
        <v>163</v>
      </c>
      <c r="X76" s="7" t="s">
        <v>164</v>
      </c>
      <c r="Y76" s="7" t="s">
        <v>187</v>
      </c>
      <c r="Z76" s="7" t="s">
        <v>188</v>
      </c>
      <c r="AA76" s="7" t="s">
        <v>167</v>
      </c>
      <c r="AB76" s="7" t="s">
        <v>209</v>
      </c>
      <c r="AC76" s="7" t="s">
        <v>235</v>
      </c>
      <c r="AD76" s="7"/>
      <c r="AE76" s="7"/>
      <c r="AF76" s="7"/>
      <c r="AG76" s="7"/>
      <c r="AH76" s="7"/>
      <c r="AI76" s="7" t="s">
        <v>170</v>
      </c>
      <c r="AJ76" s="7" t="s">
        <v>171</v>
      </c>
      <c r="AK76" s="7" t="s">
        <v>172</v>
      </c>
      <c r="AL76" s="7"/>
      <c r="AM76" s="10">
        <v>2025</v>
      </c>
      <c r="AN76" s="10">
        <v>1</v>
      </c>
      <c r="AO76" s="9">
        <v>45688</v>
      </c>
      <c r="AP76" s="9">
        <v>45688</v>
      </c>
      <c r="AQ76" s="9">
        <v>45688</v>
      </c>
      <c r="AR76" s="7" t="s">
        <v>173</v>
      </c>
      <c r="AS76" s="7" t="s">
        <v>231</v>
      </c>
      <c r="AT76" s="7" t="s">
        <v>226</v>
      </c>
      <c r="AU76" s="7" t="s">
        <v>227</v>
      </c>
      <c r="AV76" s="7"/>
      <c r="AW76" s="7"/>
      <c r="AX76" s="7"/>
      <c r="AY76" s="7" t="s">
        <v>176</v>
      </c>
      <c r="AZ76" s="7" t="s">
        <v>222</v>
      </c>
      <c r="BA76" s="7" t="s">
        <v>178</v>
      </c>
      <c r="BB76" s="12">
        <v>-6352.28</v>
      </c>
      <c r="BC76" s="7" t="s">
        <v>12</v>
      </c>
      <c r="BD76" s="13">
        <v>1.37</v>
      </c>
      <c r="BE76" s="12">
        <v>-8702.6200000000008</v>
      </c>
      <c r="BF76" s="7" t="s">
        <v>178</v>
      </c>
      <c r="BG76" s="13">
        <v>2.85</v>
      </c>
      <c r="BH76" s="12">
        <v>-24802.47</v>
      </c>
      <c r="BI76" s="7"/>
      <c r="BJ76" s="13"/>
      <c r="BK76" s="12"/>
    </row>
    <row r="77" spans="1:63" x14ac:dyDescent="0.35">
      <c r="A77" s="7" t="s">
        <v>151</v>
      </c>
      <c r="B77" s="7" t="s">
        <v>152</v>
      </c>
      <c r="C77" s="7" t="s">
        <v>153</v>
      </c>
      <c r="D77" s="7"/>
      <c r="E77" s="7" t="s">
        <v>208</v>
      </c>
      <c r="F77" s="7" t="s">
        <v>203</v>
      </c>
      <c r="G77" s="7"/>
      <c r="H77" s="7"/>
      <c r="I77" s="7"/>
      <c r="J77" s="7"/>
      <c r="K77" s="7"/>
      <c r="L77" s="7" t="s">
        <v>155</v>
      </c>
      <c r="M77" s="7"/>
      <c r="N77" s="7"/>
      <c r="O77" s="7" t="s">
        <v>222</v>
      </c>
      <c r="P77" s="7" t="s">
        <v>223</v>
      </c>
      <c r="Q77" s="7" t="s">
        <v>204</v>
      </c>
      <c r="R77" s="7" t="s">
        <v>205</v>
      </c>
      <c r="S77" s="7" t="s">
        <v>206</v>
      </c>
      <c r="T77" s="7" t="s">
        <v>207</v>
      </c>
      <c r="U77" s="7"/>
      <c r="V77" s="7" t="s">
        <v>208</v>
      </c>
      <c r="W77" s="7" t="s">
        <v>163</v>
      </c>
      <c r="X77" s="7" t="s">
        <v>164</v>
      </c>
      <c r="Y77" s="7" t="s">
        <v>187</v>
      </c>
      <c r="Z77" s="7" t="s">
        <v>188</v>
      </c>
      <c r="AA77" s="7" t="s">
        <v>167</v>
      </c>
      <c r="AB77" s="7" t="s">
        <v>209</v>
      </c>
      <c r="AC77" s="7" t="s">
        <v>235</v>
      </c>
      <c r="AD77" s="7"/>
      <c r="AE77" s="7"/>
      <c r="AF77" s="7"/>
      <c r="AG77" s="7"/>
      <c r="AH77" s="7"/>
      <c r="AI77" s="7" t="s">
        <v>170</v>
      </c>
      <c r="AJ77" s="7" t="s">
        <v>171</v>
      </c>
      <c r="AK77" s="7" t="s">
        <v>172</v>
      </c>
      <c r="AL77" s="7"/>
      <c r="AM77" s="10">
        <v>2025</v>
      </c>
      <c r="AN77" s="10">
        <v>1</v>
      </c>
      <c r="AO77" s="9">
        <v>45688</v>
      </c>
      <c r="AP77" s="9">
        <v>45688</v>
      </c>
      <c r="AQ77" s="9">
        <v>45688</v>
      </c>
      <c r="AR77" s="7" t="s">
        <v>173</v>
      </c>
      <c r="AS77" s="7" t="s">
        <v>231</v>
      </c>
      <c r="AT77" s="7" t="s">
        <v>228</v>
      </c>
      <c r="AU77" s="7" t="s">
        <v>229</v>
      </c>
      <c r="AV77" s="7"/>
      <c r="AW77" s="7"/>
      <c r="AX77" s="7"/>
      <c r="AY77" s="7" t="s">
        <v>181</v>
      </c>
      <c r="AZ77" s="7" t="s">
        <v>222</v>
      </c>
      <c r="BA77" s="7" t="s">
        <v>178</v>
      </c>
      <c r="BB77" s="12">
        <v>6352.28</v>
      </c>
      <c r="BC77" s="7" t="s">
        <v>12</v>
      </c>
      <c r="BD77" s="13">
        <v>1.37</v>
      </c>
      <c r="BE77" s="12">
        <v>8702.6200000000008</v>
      </c>
      <c r="BF77" s="7" t="s">
        <v>178</v>
      </c>
      <c r="BG77" s="13">
        <v>2.85</v>
      </c>
      <c r="BH77" s="12">
        <v>24802.47</v>
      </c>
      <c r="BI77" s="7"/>
      <c r="BJ77" s="13"/>
      <c r="BK77" s="12"/>
    </row>
    <row r="78" spans="1:63" x14ac:dyDescent="0.35">
      <c r="A78" s="7" t="s">
        <v>151</v>
      </c>
      <c r="B78" s="7" t="s">
        <v>152</v>
      </c>
      <c r="C78" s="7" t="s">
        <v>153</v>
      </c>
      <c r="D78" s="7"/>
      <c r="E78" s="7"/>
      <c r="F78" s="7" t="s">
        <v>203</v>
      </c>
      <c r="G78" s="7"/>
      <c r="H78" s="7"/>
      <c r="I78" s="7"/>
      <c r="J78" s="7"/>
      <c r="K78" s="7"/>
      <c r="L78" s="7" t="s">
        <v>155</v>
      </c>
      <c r="M78" s="7"/>
      <c r="N78" s="7"/>
      <c r="O78" s="7" t="s">
        <v>214</v>
      </c>
      <c r="P78" s="7" t="s">
        <v>215</v>
      </c>
      <c r="Q78" s="7" t="s">
        <v>204</v>
      </c>
      <c r="R78" s="7" t="s">
        <v>205</v>
      </c>
      <c r="S78" s="7" t="s">
        <v>206</v>
      </c>
      <c r="T78" s="7" t="s">
        <v>207</v>
      </c>
      <c r="U78" s="7"/>
      <c r="V78" s="7" t="s">
        <v>208</v>
      </c>
      <c r="W78" s="7" t="s">
        <v>163</v>
      </c>
      <c r="X78" s="7" t="s">
        <v>164</v>
      </c>
      <c r="Y78" s="7" t="s">
        <v>165</v>
      </c>
      <c r="Z78" s="7" t="s">
        <v>166</v>
      </c>
      <c r="AA78" s="7" t="s">
        <v>167</v>
      </c>
      <c r="AB78" s="7" t="s">
        <v>209</v>
      </c>
      <c r="AC78" s="7" t="s">
        <v>236</v>
      </c>
      <c r="AD78" s="7"/>
      <c r="AE78" s="7"/>
      <c r="AF78" s="7"/>
      <c r="AG78" s="7"/>
      <c r="AH78" s="7"/>
      <c r="AI78" s="7" t="s">
        <v>170</v>
      </c>
      <c r="AJ78" s="7" t="s">
        <v>171</v>
      </c>
      <c r="AK78" s="7" t="s">
        <v>172</v>
      </c>
      <c r="AL78" s="7"/>
      <c r="AM78" s="10">
        <v>2025</v>
      </c>
      <c r="AN78" s="10">
        <v>1</v>
      </c>
      <c r="AO78" s="9">
        <v>45688</v>
      </c>
      <c r="AP78" s="9">
        <v>45688</v>
      </c>
      <c r="AQ78" s="9">
        <v>45688</v>
      </c>
      <c r="AR78" s="7" t="s">
        <v>173</v>
      </c>
      <c r="AS78" s="7"/>
      <c r="AT78" s="7" t="s">
        <v>211</v>
      </c>
      <c r="AU78" s="7" t="s">
        <v>212</v>
      </c>
      <c r="AV78" s="7"/>
      <c r="AW78" s="7"/>
      <c r="AX78" s="7"/>
      <c r="AY78" s="7" t="s">
        <v>176</v>
      </c>
      <c r="AZ78" s="7" t="s">
        <v>214</v>
      </c>
      <c r="BA78" s="7" t="s">
        <v>178</v>
      </c>
      <c r="BB78" s="12">
        <v>-147.72</v>
      </c>
      <c r="BC78" s="7" t="s">
        <v>12</v>
      </c>
      <c r="BD78" s="13">
        <v>1.37</v>
      </c>
      <c r="BE78" s="12">
        <v>-202.38</v>
      </c>
      <c r="BF78" s="7" t="s">
        <v>178</v>
      </c>
      <c r="BG78" s="13">
        <v>2.85</v>
      </c>
      <c r="BH78" s="12">
        <v>-576.78</v>
      </c>
      <c r="BI78" s="7"/>
      <c r="BJ78" s="13"/>
      <c r="BK78" s="12"/>
    </row>
    <row r="79" spans="1:63" x14ac:dyDescent="0.35">
      <c r="A79" s="7" t="s">
        <v>151</v>
      </c>
      <c r="B79" s="7" t="s">
        <v>152</v>
      </c>
      <c r="C79" s="7" t="s">
        <v>153</v>
      </c>
      <c r="D79" s="7"/>
      <c r="E79" s="7" t="s">
        <v>208</v>
      </c>
      <c r="F79" s="7" t="s">
        <v>203</v>
      </c>
      <c r="G79" s="7"/>
      <c r="H79" s="7"/>
      <c r="I79" s="7"/>
      <c r="J79" s="7"/>
      <c r="K79" s="7"/>
      <c r="L79" s="7" t="s">
        <v>155</v>
      </c>
      <c r="M79" s="7"/>
      <c r="N79" s="7"/>
      <c r="O79" s="7" t="s">
        <v>214</v>
      </c>
      <c r="P79" s="7" t="s">
        <v>215</v>
      </c>
      <c r="Q79" s="7" t="s">
        <v>204</v>
      </c>
      <c r="R79" s="7" t="s">
        <v>205</v>
      </c>
      <c r="S79" s="7" t="s">
        <v>206</v>
      </c>
      <c r="T79" s="7" t="s">
        <v>207</v>
      </c>
      <c r="U79" s="7"/>
      <c r="V79" s="7" t="s">
        <v>208</v>
      </c>
      <c r="W79" s="7" t="s">
        <v>163</v>
      </c>
      <c r="X79" s="7" t="s">
        <v>164</v>
      </c>
      <c r="Y79" s="7" t="s">
        <v>165</v>
      </c>
      <c r="Z79" s="7" t="s">
        <v>166</v>
      </c>
      <c r="AA79" s="7" t="s">
        <v>167</v>
      </c>
      <c r="AB79" s="7" t="s">
        <v>209</v>
      </c>
      <c r="AC79" s="7" t="s">
        <v>236</v>
      </c>
      <c r="AD79" s="7"/>
      <c r="AE79" s="7"/>
      <c r="AF79" s="7"/>
      <c r="AG79" s="7"/>
      <c r="AH79" s="7"/>
      <c r="AI79" s="7" t="s">
        <v>170</v>
      </c>
      <c r="AJ79" s="7" t="s">
        <v>171</v>
      </c>
      <c r="AK79" s="7" t="s">
        <v>172</v>
      </c>
      <c r="AL79" s="7"/>
      <c r="AM79" s="10">
        <v>2025</v>
      </c>
      <c r="AN79" s="10">
        <v>1</v>
      </c>
      <c r="AO79" s="9">
        <v>45688</v>
      </c>
      <c r="AP79" s="9">
        <v>45688</v>
      </c>
      <c r="AQ79" s="9">
        <v>45688</v>
      </c>
      <c r="AR79" s="7" t="s">
        <v>173</v>
      </c>
      <c r="AS79" s="7"/>
      <c r="AT79" s="7" t="s">
        <v>217</v>
      </c>
      <c r="AU79" s="7" t="s">
        <v>218</v>
      </c>
      <c r="AV79" s="7"/>
      <c r="AW79" s="7"/>
      <c r="AX79" s="7"/>
      <c r="AY79" s="7" t="s">
        <v>181</v>
      </c>
      <c r="AZ79" s="7" t="s">
        <v>214</v>
      </c>
      <c r="BA79" s="7" t="s">
        <v>178</v>
      </c>
      <c r="BB79" s="12">
        <v>147.72</v>
      </c>
      <c r="BC79" s="7" t="s">
        <v>12</v>
      </c>
      <c r="BD79" s="13">
        <v>1.37</v>
      </c>
      <c r="BE79" s="12">
        <v>202.38</v>
      </c>
      <c r="BF79" s="7" t="s">
        <v>178</v>
      </c>
      <c r="BG79" s="13">
        <v>2.85</v>
      </c>
      <c r="BH79" s="12">
        <v>576.78</v>
      </c>
      <c r="BI79" s="7"/>
      <c r="BJ79" s="13"/>
      <c r="BK79" s="12"/>
    </row>
    <row r="80" spans="1:63" x14ac:dyDescent="0.35">
      <c r="A80" s="7" t="s">
        <v>151</v>
      </c>
      <c r="B80" s="7" t="s">
        <v>152</v>
      </c>
      <c r="C80" s="7" t="s">
        <v>153</v>
      </c>
      <c r="D80" s="7"/>
      <c r="E80" s="7"/>
      <c r="F80" s="7" t="s">
        <v>203</v>
      </c>
      <c r="G80" s="7"/>
      <c r="H80" s="7"/>
      <c r="I80" s="7"/>
      <c r="J80" s="7"/>
      <c r="K80" s="7"/>
      <c r="L80" s="7" t="s">
        <v>155</v>
      </c>
      <c r="M80" s="7"/>
      <c r="N80" s="7"/>
      <c r="O80" s="7" t="s">
        <v>214</v>
      </c>
      <c r="P80" s="7" t="s">
        <v>215</v>
      </c>
      <c r="Q80" s="7" t="s">
        <v>204</v>
      </c>
      <c r="R80" s="7" t="s">
        <v>205</v>
      </c>
      <c r="S80" s="7" t="s">
        <v>206</v>
      </c>
      <c r="T80" s="7" t="s">
        <v>207</v>
      </c>
      <c r="U80" s="7"/>
      <c r="V80" s="7" t="s">
        <v>208</v>
      </c>
      <c r="W80" s="7" t="s">
        <v>163</v>
      </c>
      <c r="X80" s="7" t="s">
        <v>164</v>
      </c>
      <c r="Y80" s="7" t="s">
        <v>165</v>
      </c>
      <c r="Z80" s="7" t="s">
        <v>166</v>
      </c>
      <c r="AA80" s="7" t="s">
        <v>167</v>
      </c>
      <c r="AB80" s="7" t="s">
        <v>209</v>
      </c>
      <c r="AC80" s="7" t="s">
        <v>236</v>
      </c>
      <c r="AD80" s="7"/>
      <c r="AE80" s="7"/>
      <c r="AF80" s="7"/>
      <c r="AG80" s="7"/>
      <c r="AH80" s="7"/>
      <c r="AI80" s="7" t="s">
        <v>170</v>
      </c>
      <c r="AJ80" s="7" t="s">
        <v>171</v>
      </c>
      <c r="AK80" s="7" t="s">
        <v>172</v>
      </c>
      <c r="AL80" s="7"/>
      <c r="AM80" s="10">
        <v>2025</v>
      </c>
      <c r="AN80" s="10">
        <v>1</v>
      </c>
      <c r="AO80" s="9">
        <v>45688</v>
      </c>
      <c r="AP80" s="9">
        <v>45688</v>
      </c>
      <c r="AQ80" s="9">
        <v>45688</v>
      </c>
      <c r="AR80" s="7" t="s">
        <v>173</v>
      </c>
      <c r="AS80" s="7"/>
      <c r="AT80" s="7" t="s">
        <v>202</v>
      </c>
      <c r="AU80" s="7" t="s">
        <v>200</v>
      </c>
      <c r="AV80" s="7"/>
      <c r="AW80" s="7"/>
      <c r="AX80" s="7"/>
      <c r="AY80" s="7" t="s">
        <v>176</v>
      </c>
      <c r="AZ80" s="7" t="s">
        <v>214</v>
      </c>
      <c r="BA80" s="7" t="s">
        <v>178</v>
      </c>
      <c r="BB80" s="12">
        <v>-250</v>
      </c>
      <c r="BC80" s="7" t="s">
        <v>12</v>
      </c>
      <c r="BD80" s="13">
        <v>1.37</v>
      </c>
      <c r="BE80" s="12">
        <v>-342.5</v>
      </c>
      <c r="BF80" s="7" t="s">
        <v>178</v>
      </c>
      <c r="BG80" s="13">
        <v>2.85</v>
      </c>
      <c r="BH80" s="12">
        <v>-976.13</v>
      </c>
      <c r="BI80" s="7"/>
      <c r="BJ80" s="13"/>
      <c r="BK80" s="12"/>
    </row>
    <row r="81" spans="1:63" x14ac:dyDescent="0.35">
      <c r="A81" s="7" t="s">
        <v>151</v>
      </c>
      <c r="B81" s="7" t="s">
        <v>152</v>
      </c>
      <c r="C81" s="7" t="s">
        <v>153</v>
      </c>
      <c r="D81" s="7"/>
      <c r="E81" s="7" t="s">
        <v>208</v>
      </c>
      <c r="F81" s="7" t="s">
        <v>203</v>
      </c>
      <c r="G81" s="7"/>
      <c r="H81" s="7"/>
      <c r="I81" s="7"/>
      <c r="J81" s="7"/>
      <c r="K81" s="7"/>
      <c r="L81" s="7" t="s">
        <v>155</v>
      </c>
      <c r="M81" s="7"/>
      <c r="N81" s="7"/>
      <c r="O81" s="7" t="s">
        <v>214</v>
      </c>
      <c r="P81" s="7" t="s">
        <v>215</v>
      </c>
      <c r="Q81" s="7" t="s">
        <v>204</v>
      </c>
      <c r="R81" s="7" t="s">
        <v>205</v>
      </c>
      <c r="S81" s="7" t="s">
        <v>206</v>
      </c>
      <c r="T81" s="7" t="s">
        <v>207</v>
      </c>
      <c r="U81" s="7"/>
      <c r="V81" s="7" t="s">
        <v>208</v>
      </c>
      <c r="W81" s="7" t="s">
        <v>163</v>
      </c>
      <c r="X81" s="7" t="s">
        <v>164</v>
      </c>
      <c r="Y81" s="7" t="s">
        <v>165</v>
      </c>
      <c r="Z81" s="7" t="s">
        <v>166</v>
      </c>
      <c r="AA81" s="7" t="s">
        <v>167</v>
      </c>
      <c r="AB81" s="7" t="s">
        <v>209</v>
      </c>
      <c r="AC81" s="7" t="s">
        <v>236</v>
      </c>
      <c r="AD81" s="7"/>
      <c r="AE81" s="7"/>
      <c r="AF81" s="7"/>
      <c r="AG81" s="7"/>
      <c r="AH81" s="7"/>
      <c r="AI81" s="7" t="s">
        <v>170</v>
      </c>
      <c r="AJ81" s="7" t="s">
        <v>171</v>
      </c>
      <c r="AK81" s="7" t="s">
        <v>172</v>
      </c>
      <c r="AL81" s="7"/>
      <c r="AM81" s="10">
        <v>2025</v>
      </c>
      <c r="AN81" s="10">
        <v>1</v>
      </c>
      <c r="AO81" s="9">
        <v>45688</v>
      </c>
      <c r="AP81" s="9">
        <v>45688</v>
      </c>
      <c r="AQ81" s="9">
        <v>45688</v>
      </c>
      <c r="AR81" s="7" t="s">
        <v>173</v>
      </c>
      <c r="AS81" s="7"/>
      <c r="AT81" s="7" t="s">
        <v>233</v>
      </c>
      <c r="AU81" s="7" t="s">
        <v>234</v>
      </c>
      <c r="AV81" s="7"/>
      <c r="AW81" s="7"/>
      <c r="AX81" s="7"/>
      <c r="AY81" s="7" t="s">
        <v>181</v>
      </c>
      <c r="AZ81" s="7" t="s">
        <v>214</v>
      </c>
      <c r="BA81" s="7" t="s">
        <v>178</v>
      </c>
      <c r="BB81" s="12">
        <v>250</v>
      </c>
      <c r="BC81" s="7" t="s">
        <v>12</v>
      </c>
      <c r="BD81" s="13">
        <v>1.37</v>
      </c>
      <c r="BE81" s="12">
        <v>342.5</v>
      </c>
      <c r="BF81" s="7" t="s">
        <v>178</v>
      </c>
      <c r="BG81" s="13">
        <v>2.85</v>
      </c>
      <c r="BH81" s="12">
        <v>976.13</v>
      </c>
      <c r="BI81" s="7"/>
      <c r="BJ81" s="13"/>
      <c r="BK81" s="12"/>
    </row>
    <row r="82" spans="1:63" x14ac:dyDescent="0.35">
      <c r="A82" s="7" t="s">
        <v>151</v>
      </c>
      <c r="B82" s="7" t="s">
        <v>152</v>
      </c>
      <c r="C82" s="7" t="s">
        <v>153</v>
      </c>
      <c r="D82" s="7"/>
      <c r="E82" s="7" t="s">
        <v>208</v>
      </c>
      <c r="F82" s="7" t="s">
        <v>203</v>
      </c>
      <c r="G82" s="7"/>
      <c r="H82" s="7"/>
      <c r="I82" s="7"/>
      <c r="J82" s="7"/>
      <c r="K82" s="7"/>
      <c r="L82" s="7" t="s">
        <v>155</v>
      </c>
      <c r="M82" s="7"/>
      <c r="N82" s="7"/>
      <c r="O82" s="7" t="s">
        <v>214</v>
      </c>
      <c r="P82" s="7" t="s">
        <v>215</v>
      </c>
      <c r="Q82" s="7" t="s">
        <v>204</v>
      </c>
      <c r="R82" s="7" t="s">
        <v>205</v>
      </c>
      <c r="S82" s="7" t="s">
        <v>206</v>
      </c>
      <c r="T82" s="7" t="s">
        <v>207</v>
      </c>
      <c r="U82" s="7"/>
      <c r="V82" s="7" t="s">
        <v>208</v>
      </c>
      <c r="W82" s="7" t="s">
        <v>163</v>
      </c>
      <c r="X82" s="7" t="s">
        <v>164</v>
      </c>
      <c r="Y82" s="7" t="s">
        <v>165</v>
      </c>
      <c r="Z82" s="7" t="s">
        <v>166</v>
      </c>
      <c r="AA82" s="7" t="s">
        <v>167</v>
      </c>
      <c r="AB82" s="7" t="s">
        <v>209</v>
      </c>
      <c r="AC82" s="7" t="s">
        <v>236</v>
      </c>
      <c r="AD82" s="7"/>
      <c r="AE82" s="7"/>
      <c r="AF82" s="7"/>
      <c r="AG82" s="7"/>
      <c r="AH82" s="7"/>
      <c r="AI82" s="7" t="s">
        <v>170</v>
      </c>
      <c r="AJ82" s="7" t="s">
        <v>171</v>
      </c>
      <c r="AK82" s="7" t="s">
        <v>172</v>
      </c>
      <c r="AL82" s="7"/>
      <c r="AM82" s="10">
        <v>2025</v>
      </c>
      <c r="AN82" s="10">
        <v>1</v>
      </c>
      <c r="AO82" s="9">
        <v>45688</v>
      </c>
      <c r="AP82" s="9">
        <v>45688</v>
      </c>
      <c r="AQ82" s="9">
        <v>45688</v>
      </c>
      <c r="AR82" s="7" t="s">
        <v>173</v>
      </c>
      <c r="AS82" s="7"/>
      <c r="AT82" s="7" t="s">
        <v>197</v>
      </c>
      <c r="AU82" s="7" t="s">
        <v>198</v>
      </c>
      <c r="AV82" s="7"/>
      <c r="AW82" s="7"/>
      <c r="AX82" s="7"/>
      <c r="AY82" s="7" t="s">
        <v>176</v>
      </c>
      <c r="AZ82" s="7" t="s">
        <v>214</v>
      </c>
      <c r="BA82" s="7" t="s">
        <v>178</v>
      </c>
      <c r="BB82" s="12">
        <v>-6422.5</v>
      </c>
      <c r="BC82" s="7" t="s">
        <v>12</v>
      </c>
      <c r="BD82" s="13">
        <v>1.37</v>
      </c>
      <c r="BE82" s="12">
        <v>-8798.83</v>
      </c>
      <c r="BF82" s="7" t="s">
        <v>178</v>
      </c>
      <c r="BG82" s="13">
        <v>2.85</v>
      </c>
      <c r="BH82" s="12">
        <v>-25076.67</v>
      </c>
      <c r="BI82" s="7"/>
      <c r="BJ82" s="13"/>
      <c r="BK82" s="12"/>
    </row>
    <row r="83" spans="1:63" x14ac:dyDescent="0.35">
      <c r="A83" s="7" t="s">
        <v>151</v>
      </c>
      <c r="B83" s="7" t="s">
        <v>152</v>
      </c>
      <c r="C83" s="7" t="s">
        <v>153</v>
      </c>
      <c r="D83" s="7"/>
      <c r="E83" s="7"/>
      <c r="F83" s="7" t="s">
        <v>203</v>
      </c>
      <c r="G83" s="7"/>
      <c r="H83" s="7"/>
      <c r="I83" s="7"/>
      <c r="J83" s="7"/>
      <c r="K83" s="7"/>
      <c r="L83" s="7" t="s">
        <v>155</v>
      </c>
      <c r="M83" s="7"/>
      <c r="N83" s="7"/>
      <c r="O83" s="7" t="s">
        <v>214</v>
      </c>
      <c r="P83" s="7" t="s">
        <v>215</v>
      </c>
      <c r="Q83" s="7" t="s">
        <v>204</v>
      </c>
      <c r="R83" s="7" t="s">
        <v>205</v>
      </c>
      <c r="S83" s="7" t="s">
        <v>206</v>
      </c>
      <c r="T83" s="7" t="s">
        <v>207</v>
      </c>
      <c r="U83" s="7"/>
      <c r="V83" s="7" t="s">
        <v>208</v>
      </c>
      <c r="W83" s="7" t="s">
        <v>163</v>
      </c>
      <c r="X83" s="7" t="s">
        <v>164</v>
      </c>
      <c r="Y83" s="7" t="s">
        <v>165</v>
      </c>
      <c r="Z83" s="7" t="s">
        <v>166</v>
      </c>
      <c r="AA83" s="7" t="s">
        <v>167</v>
      </c>
      <c r="AB83" s="7" t="s">
        <v>209</v>
      </c>
      <c r="AC83" s="7" t="s">
        <v>236</v>
      </c>
      <c r="AD83" s="7"/>
      <c r="AE83" s="7"/>
      <c r="AF83" s="7"/>
      <c r="AG83" s="7"/>
      <c r="AH83" s="7"/>
      <c r="AI83" s="7" t="s">
        <v>170</v>
      </c>
      <c r="AJ83" s="7" t="s">
        <v>171</v>
      </c>
      <c r="AK83" s="7" t="s">
        <v>172</v>
      </c>
      <c r="AL83" s="7"/>
      <c r="AM83" s="10">
        <v>2025</v>
      </c>
      <c r="AN83" s="10">
        <v>1</v>
      </c>
      <c r="AO83" s="9">
        <v>45688</v>
      </c>
      <c r="AP83" s="9">
        <v>45688</v>
      </c>
      <c r="AQ83" s="9">
        <v>45688</v>
      </c>
      <c r="AR83" s="7" t="s">
        <v>173</v>
      </c>
      <c r="AS83" s="7"/>
      <c r="AT83" s="7" t="s">
        <v>174</v>
      </c>
      <c r="AU83" s="7" t="s">
        <v>175</v>
      </c>
      <c r="AV83" s="7"/>
      <c r="AW83" s="7"/>
      <c r="AX83" s="7"/>
      <c r="AY83" s="7" t="s">
        <v>181</v>
      </c>
      <c r="AZ83" s="7" t="s">
        <v>214</v>
      </c>
      <c r="BA83" s="7" t="s">
        <v>178</v>
      </c>
      <c r="BB83" s="12">
        <v>6422.5</v>
      </c>
      <c r="BC83" s="7" t="s">
        <v>12</v>
      </c>
      <c r="BD83" s="13">
        <v>1.37</v>
      </c>
      <c r="BE83" s="12">
        <v>8798.83</v>
      </c>
      <c r="BF83" s="7" t="s">
        <v>178</v>
      </c>
      <c r="BG83" s="13">
        <v>2.85</v>
      </c>
      <c r="BH83" s="12">
        <v>25076.67</v>
      </c>
      <c r="BI83" s="7"/>
      <c r="BJ83" s="13"/>
      <c r="BK83" s="12"/>
    </row>
    <row r="84" spans="1:63" x14ac:dyDescent="0.35">
      <c r="A84" s="7" t="s">
        <v>151</v>
      </c>
      <c r="B84" s="7" t="s">
        <v>152</v>
      </c>
      <c r="C84" s="7" t="s">
        <v>153</v>
      </c>
      <c r="D84" s="7"/>
      <c r="E84" s="7"/>
      <c r="F84" s="7" t="s">
        <v>203</v>
      </c>
      <c r="G84" s="7"/>
      <c r="H84" s="7"/>
      <c r="I84" s="7"/>
      <c r="J84" s="7"/>
      <c r="K84" s="7"/>
      <c r="L84" s="7" t="s">
        <v>155</v>
      </c>
      <c r="M84" s="7"/>
      <c r="N84" s="7"/>
      <c r="O84" s="7" t="s">
        <v>222</v>
      </c>
      <c r="P84" s="7" t="s">
        <v>223</v>
      </c>
      <c r="Q84" s="7" t="s">
        <v>204</v>
      </c>
      <c r="R84" s="7" t="s">
        <v>205</v>
      </c>
      <c r="S84" s="7" t="s">
        <v>206</v>
      </c>
      <c r="T84" s="7" t="s">
        <v>207</v>
      </c>
      <c r="U84" s="7"/>
      <c r="V84" s="7" t="s">
        <v>208</v>
      </c>
      <c r="W84" s="7" t="s">
        <v>163</v>
      </c>
      <c r="X84" s="7" t="s">
        <v>164</v>
      </c>
      <c r="Y84" s="7" t="s">
        <v>165</v>
      </c>
      <c r="Z84" s="7" t="s">
        <v>166</v>
      </c>
      <c r="AA84" s="7" t="s">
        <v>167</v>
      </c>
      <c r="AB84" s="7" t="s">
        <v>209</v>
      </c>
      <c r="AC84" s="7" t="s">
        <v>237</v>
      </c>
      <c r="AD84" s="7"/>
      <c r="AE84" s="7"/>
      <c r="AF84" s="7"/>
      <c r="AG84" s="7"/>
      <c r="AH84" s="7"/>
      <c r="AI84" s="7" t="s">
        <v>170</v>
      </c>
      <c r="AJ84" s="7" t="s">
        <v>171</v>
      </c>
      <c r="AK84" s="7" t="s">
        <v>172</v>
      </c>
      <c r="AL84" s="7"/>
      <c r="AM84" s="10">
        <v>2025</v>
      </c>
      <c r="AN84" s="10">
        <v>1</v>
      </c>
      <c r="AO84" s="9">
        <v>45688</v>
      </c>
      <c r="AP84" s="9">
        <v>45688</v>
      </c>
      <c r="AQ84" s="9">
        <v>45688</v>
      </c>
      <c r="AR84" s="7" t="s">
        <v>173</v>
      </c>
      <c r="AS84" s="7" t="s">
        <v>225</v>
      </c>
      <c r="AT84" s="7" t="s">
        <v>226</v>
      </c>
      <c r="AU84" s="7" t="s">
        <v>227</v>
      </c>
      <c r="AV84" s="7"/>
      <c r="AW84" s="7"/>
      <c r="AX84" s="7"/>
      <c r="AY84" s="7" t="s">
        <v>176</v>
      </c>
      <c r="AZ84" s="7" t="s">
        <v>222</v>
      </c>
      <c r="BA84" s="7" t="s">
        <v>178</v>
      </c>
      <c r="BB84" s="12">
        <v>-6406.72</v>
      </c>
      <c r="BC84" s="7" t="s">
        <v>12</v>
      </c>
      <c r="BD84" s="13">
        <v>1.37</v>
      </c>
      <c r="BE84" s="12">
        <v>-8777.2000000000007</v>
      </c>
      <c r="BF84" s="7" t="s">
        <v>178</v>
      </c>
      <c r="BG84" s="13">
        <v>2.85</v>
      </c>
      <c r="BH84" s="12">
        <v>-25015.02</v>
      </c>
      <c r="BI84" s="7"/>
      <c r="BJ84" s="13"/>
      <c r="BK84" s="12"/>
    </row>
    <row r="85" spans="1:63" x14ac:dyDescent="0.35">
      <c r="A85" s="7" t="s">
        <v>151</v>
      </c>
      <c r="B85" s="7" t="s">
        <v>152</v>
      </c>
      <c r="C85" s="7" t="s">
        <v>153</v>
      </c>
      <c r="D85" s="7"/>
      <c r="E85" s="7" t="s">
        <v>208</v>
      </c>
      <c r="F85" s="7" t="s">
        <v>203</v>
      </c>
      <c r="G85" s="7"/>
      <c r="H85" s="7"/>
      <c r="I85" s="7"/>
      <c r="J85" s="7"/>
      <c r="K85" s="7"/>
      <c r="L85" s="7" t="s">
        <v>155</v>
      </c>
      <c r="M85" s="7"/>
      <c r="N85" s="7"/>
      <c r="O85" s="7" t="s">
        <v>222</v>
      </c>
      <c r="P85" s="7" t="s">
        <v>223</v>
      </c>
      <c r="Q85" s="7" t="s">
        <v>204</v>
      </c>
      <c r="R85" s="7" t="s">
        <v>205</v>
      </c>
      <c r="S85" s="7" t="s">
        <v>206</v>
      </c>
      <c r="T85" s="7" t="s">
        <v>207</v>
      </c>
      <c r="U85" s="7"/>
      <c r="V85" s="7" t="s">
        <v>208</v>
      </c>
      <c r="W85" s="7" t="s">
        <v>163</v>
      </c>
      <c r="X85" s="7" t="s">
        <v>164</v>
      </c>
      <c r="Y85" s="7" t="s">
        <v>165</v>
      </c>
      <c r="Z85" s="7" t="s">
        <v>166</v>
      </c>
      <c r="AA85" s="7" t="s">
        <v>167</v>
      </c>
      <c r="AB85" s="7" t="s">
        <v>209</v>
      </c>
      <c r="AC85" s="7" t="s">
        <v>237</v>
      </c>
      <c r="AD85" s="7"/>
      <c r="AE85" s="7"/>
      <c r="AF85" s="7"/>
      <c r="AG85" s="7"/>
      <c r="AH85" s="7"/>
      <c r="AI85" s="7" t="s">
        <v>170</v>
      </c>
      <c r="AJ85" s="7" t="s">
        <v>171</v>
      </c>
      <c r="AK85" s="7" t="s">
        <v>172</v>
      </c>
      <c r="AL85" s="7"/>
      <c r="AM85" s="10">
        <v>2025</v>
      </c>
      <c r="AN85" s="10">
        <v>1</v>
      </c>
      <c r="AO85" s="9">
        <v>45688</v>
      </c>
      <c r="AP85" s="9">
        <v>45688</v>
      </c>
      <c r="AQ85" s="9">
        <v>45688</v>
      </c>
      <c r="AR85" s="7" t="s">
        <v>173</v>
      </c>
      <c r="AS85" s="7" t="s">
        <v>225</v>
      </c>
      <c r="AT85" s="7" t="s">
        <v>228</v>
      </c>
      <c r="AU85" s="7" t="s">
        <v>229</v>
      </c>
      <c r="AV85" s="7"/>
      <c r="AW85" s="7"/>
      <c r="AX85" s="7"/>
      <c r="AY85" s="7" t="s">
        <v>181</v>
      </c>
      <c r="AZ85" s="7" t="s">
        <v>222</v>
      </c>
      <c r="BA85" s="7" t="s">
        <v>178</v>
      </c>
      <c r="BB85" s="12">
        <v>6406.72</v>
      </c>
      <c r="BC85" s="7" t="s">
        <v>12</v>
      </c>
      <c r="BD85" s="13">
        <v>1.37</v>
      </c>
      <c r="BE85" s="12">
        <v>8777.2000000000007</v>
      </c>
      <c r="BF85" s="7" t="s">
        <v>178</v>
      </c>
      <c r="BG85" s="13">
        <v>2.85</v>
      </c>
      <c r="BH85" s="12">
        <v>25015.02</v>
      </c>
      <c r="BI85" s="7"/>
      <c r="BJ85" s="13"/>
      <c r="BK85" s="12"/>
    </row>
  </sheetData>
  <autoFilter ref="A27:BK27" xr:uid="{69557F84-4AAB-4705-8E35-4191DE82AA9D}"/>
  <mergeCells count="7">
    <mergeCell ref="A19:A24"/>
    <mergeCell ref="B19:B24"/>
    <mergeCell ref="A1:F1"/>
    <mergeCell ref="A2:F2"/>
    <mergeCell ref="A3:B3"/>
    <mergeCell ref="C3:D3"/>
    <mergeCell ref="E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EB11-D5FF-4EB7-BBD7-E602AB308C6B}">
  <dimension ref="A1:T32"/>
  <sheetViews>
    <sheetView workbookViewId="0">
      <selection activeCell="D13" sqref="D13:E13"/>
    </sheetView>
  </sheetViews>
  <sheetFormatPr defaultRowHeight="14.5" x14ac:dyDescent="0.35"/>
  <cols>
    <col min="1" max="1" width="24.81640625" bestFit="1" customWidth="1"/>
    <col min="2" max="2" width="31.54296875" bestFit="1" customWidth="1"/>
    <col min="3" max="3" width="22.54296875" bestFit="1" customWidth="1"/>
    <col min="4" max="4" width="31.54296875" bestFit="1" customWidth="1"/>
    <col min="5" max="5" width="32.453125" bestFit="1" customWidth="1"/>
  </cols>
  <sheetData>
    <row r="1" spans="1:20" x14ac:dyDescent="0.35">
      <c r="A1" s="15" t="s">
        <v>127</v>
      </c>
      <c r="B1" s="17">
        <v>2025</v>
      </c>
    </row>
    <row r="2" spans="1:20" x14ac:dyDescent="0.35">
      <c r="A2" s="15" t="s">
        <v>128</v>
      </c>
      <c r="B2" s="17">
        <v>1</v>
      </c>
    </row>
    <row r="3" spans="1:20" x14ac:dyDescent="0.35">
      <c r="A3" s="15" t="s">
        <v>69</v>
      </c>
      <c r="B3" t="s">
        <v>187</v>
      </c>
    </row>
    <row r="5" spans="1:20" x14ac:dyDescent="0.35">
      <c r="A5" s="15" t="s">
        <v>140</v>
      </c>
      <c r="B5" s="15" t="s">
        <v>133</v>
      </c>
      <c r="C5" s="15" t="s">
        <v>134</v>
      </c>
      <c r="D5" t="s">
        <v>238</v>
      </c>
      <c r="E5" t="s">
        <v>239</v>
      </c>
      <c r="O5" s="18"/>
      <c r="P5" s="18"/>
      <c r="Q5" s="18"/>
      <c r="R5" s="18"/>
      <c r="S5" s="18"/>
      <c r="T5" s="18"/>
    </row>
    <row r="6" spans="1:20" x14ac:dyDescent="0.35">
      <c r="A6" t="s">
        <v>9</v>
      </c>
      <c r="B6" t="s">
        <v>226</v>
      </c>
      <c r="C6" t="s">
        <v>227</v>
      </c>
      <c r="D6" s="16">
        <v>-7818.19</v>
      </c>
      <c r="E6" s="16">
        <v>-12040.01</v>
      </c>
      <c r="O6" s="18"/>
      <c r="P6" s="18"/>
      <c r="Q6" s="18"/>
      <c r="R6" s="18"/>
      <c r="S6" s="18"/>
      <c r="T6" s="18"/>
    </row>
    <row r="7" spans="1:20" x14ac:dyDescent="0.35">
      <c r="A7" t="s">
        <v>9</v>
      </c>
      <c r="B7" t="s">
        <v>179</v>
      </c>
      <c r="C7" t="s">
        <v>180</v>
      </c>
      <c r="D7" s="16">
        <v>0</v>
      </c>
      <c r="E7" s="16">
        <v>0</v>
      </c>
      <c r="O7" s="18"/>
      <c r="P7" s="18"/>
      <c r="Q7" s="18"/>
      <c r="R7" s="18"/>
      <c r="S7" s="18"/>
      <c r="T7" s="18"/>
    </row>
    <row r="8" spans="1:20" x14ac:dyDescent="0.35">
      <c r="A8" t="s">
        <v>9</v>
      </c>
      <c r="B8" t="s">
        <v>195</v>
      </c>
      <c r="C8" t="s">
        <v>196</v>
      </c>
      <c r="D8" s="16">
        <v>-8900</v>
      </c>
      <c r="E8" s="16">
        <v>-13706</v>
      </c>
      <c r="O8" s="18"/>
      <c r="P8" s="18"/>
      <c r="Q8" s="18"/>
      <c r="R8" s="18"/>
      <c r="S8" s="18"/>
      <c r="T8" s="18"/>
    </row>
    <row r="9" spans="1:20" x14ac:dyDescent="0.35">
      <c r="A9" t="s">
        <v>9</v>
      </c>
      <c r="B9" t="s">
        <v>185</v>
      </c>
      <c r="C9" t="s">
        <v>186</v>
      </c>
      <c r="D9" s="16">
        <v>189810.28</v>
      </c>
      <c r="E9" s="16">
        <v>292307.83</v>
      </c>
      <c r="O9" s="18"/>
      <c r="P9" s="18"/>
      <c r="Q9" s="18"/>
      <c r="R9" s="18"/>
      <c r="S9" s="18"/>
      <c r="T9" s="18"/>
    </row>
    <row r="10" spans="1:20" x14ac:dyDescent="0.35">
      <c r="A10" t="s">
        <v>9</v>
      </c>
      <c r="B10" t="s">
        <v>211</v>
      </c>
      <c r="C10" t="s">
        <v>212</v>
      </c>
      <c r="D10" s="16">
        <v>-181.81</v>
      </c>
      <c r="E10" s="16">
        <v>-279.99</v>
      </c>
      <c r="O10" s="18"/>
      <c r="P10" s="18"/>
      <c r="Q10" s="18"/>
      <c r="R10" s="18"/>
      <c r="S10" s="18"/>
      <c r="T10" s="18"/>
    </row>
    <row r="11" spans="1:20" x14ac:dyDescent="0.35">
      <c r="A11" t="s">
        <v>9</v>
      </c>
      <c r="B11" t="s">
        <v>202</v>
      </c>
      <c r="C11" t="s">
        <v>200</v>
      </c>
      <c r="D11" s="16">
        <v>0</v>
      </c>
      <c r="E11" s="16">
        <v>0</v>
      </c>
      <c r="O11" s="18"/>
      <c r="P11" s="18"/>
      <c r="Q11" s="18"/>
      <c r="R11" s="18"/>
      <c r="S11" s="18"/>
      <c r="T11" s="18"/>
    </row>
    <row r="12" spans="1:20" x14ac:dyDescent="0.35">
      <c r="A12" t="s">
        <v>9</v>
      </c>
      <c r="B12" t="s">
        <v>197</v>
      </c>
      <c r="C12" t="s">
        <v>198</v>
      </c>
      <c r="D12" s="16">
        <v>-94336</v>
      </c>
      <c r="E12" s="16">
        <v>-145277.44</v>
      </c>
      <c r="O12" s="18"/>
      <c r="P12" s="18"/>
      <c r="Q12" s="18"/>
      <c r="R12" s="18"/>
      <c r="S12" s="18"/>
      <c r="T12" s="18"/>
    </row>
    <row r="13" spans="1:20" x14ac:dyDescent="0.35">
      <c r="A13" t="s">
        <v>9</v>
      </c>
      <c r="B13" t="s">
        <v>174</v>
      </c>
      <c r="C13" t="s">
        <v>175</v>
      </c>
      <c r="D13" s="16">
        <v>-87474.28</v>
      </c>
      <c r="E13" s="16">
        <v>-134710.39000000001</v>
      </c>
      <c r="O13" s="18"/>
      <c r="P13" s="18"/>
      <c r="Q13" s="18"/>
      <c r="R13" s="18"/>
      <c r="S13" s="18"/>
      <c r="T13" s="18"/>
    </row>
    <row r="14" spans="1:20" x14ac:dyDescent="0.35">
      <c r="A14" t="s">
        <v>9</v>
      </c>
      <c r="B14" t="s">
        <v>217</v>
      </c>
      <c r="C14" t="s">
        <v>218</v>
      </c>
      <c r="D14" s="16">
        <v>181.81</v>
      </c>
      <c r="E14" s="16">
        <v>279.99</v>
      </c>
      <c r="F14" t="s">
        <v>240</v>
      </c>
      <c r="O14" s="18"/>
      <c r="P14" s="18"/>
      <c r="Q14" s="18"/>
      <c r="R14" s="18"/>
      <c r="S14" s="18"/>
      <c r="T14" s="18"/>
    </row>
    <row r="15" spans="1:20" x14ac:dyDescent="0.35">
      <c r="A15" t="s">
        <v>9</v>
      </c>
      <c r="B15" t="s">
        <v>228</v>
      </c>
      <c r="C15" t="s">
        <v>229</v>
      </c>
      <c r="D15" s="16">
        <v>7818.19</v>
      </c>
      <c r="E15" s="16">
        <v>12040.01</v>
      </c>
      <c r="F15" t="s">
        <v>240</v>
      </c>
      <c r="O15" s="18"/>
      <c r="P15" s="18"/>
      <c r="Q15" s="18"/>
      <c r="R15" s="18"/>
      <c r="S15" s="18"/>
      <c r="T15" s="18"/>
    </row>
    <row r="16" spans="1:20" x14ac:dyDescent="0.35">
      <c r="A16" t="s">
        <v>9</v>
      </c>
      <c r="B16" t="s">
        <v>219</v>
      </c>
      <c r="C16" t="s">
        <v>220</v>
      </c>
      <c r="D16" s="16">
        <v>900</v>
      </c>
      <c r="E16" s="16">
        <v>1386</v>
      </c>
      <c r="F16" t="s">
        <v>240</v>
      </c>
      <c r="O16" s="18"/>
      <c r="P16" s="18"/>
      <c r="Q16" s="18"/>
      <c r="R16" s="18"/>
      <c r="S16" s="18"/>
      <c r="T16" s="18"/>
    </row>
    <row r="17" spans="1:20" x14ac:dyDescent="0.35">
      <c r="A17" t="s">
        <v>178</v>
      </c>
      <c r="B17" t="s">
        <v>226</v>
      </c>
      <c r="C17" t="s">
        <v>227</v>
      </c>
      <c r="D17" s="16">
        <v>-6352.28</v>
      </c>
      <c r="E17" s="16">
        <v>-8702.6200000000008</v>
      </c>
      <c r="O17" s="18"/>
      <c r="P17" s="18"/>
      <c r="Q17" s="18"/>
      <c r="R17" s="18"/>
      <c r="S17" s="18"/>
      <c r="T17" s="18"/>
    </row>
    <row r="18" spans="1:20" x14ac:dyDescent="0.35">
      <c r="A18" t="s">
        <v>178</v>
      </c>
      <c r="B18" t="s">
        <v>195</v>
      </c>
      <c r="C18" t="s">
        <v>196</v>
      </c>
      <c r="D18" s="16">
        <v>-6750</v>
      </c>
      <c r="E18" s="16">
        <v>-9247.5</v>
      </c>
      <c r="O18" s="18"/>
      <c r="P18" s="18"/>
      <c r="Q18" s="18"/>
      <c r="R18" s="18"/>
      <c r="S18" s="18"/>
      <c r="T18" s="18"/>
    </row>
    <row r="19" spans="1:20" x14ac:dyDescent="0.35">
      <c r="A19" t="s">
        <v>178</v>
      </c>
      <c r="B19" t="s">
        <v>211</v>
      </c>
      <c r="C19" t="s">
        <v>212</v>
      </c>
      <c r="D19" s="16">
        <v>6.3499999999999943</v>
      </c>
      <c r="E19" s="16">
        <v>8.6899999999999977</v>
      </c>
      <c r="O19" s="18"/>
      <c r="P19" s="18"/>
      <c r="Q19" s="18"/>
      <c r="R19" s="18"/>
      <c r="S19" s="18"/>
      <c r="T19" s="18"/>
    </row>
    <row r="20" spans="1:20" x14ac:dyDescent="0.35">
      <c r="A20" t="s">
        <v>178</v>
      </c>
      <c r="B20" t="s">
        <v>202</v>
      </c>
      <c r="C20" t="s">
        <v>200</v>
      </c>
      <c r="D20" s="16">
        <v>0</v>
      </c>
      <c r="E20" s="16">
        <v>0</v>
      </c>
      <c r="O20" s="18"/>
      <c r="P20" s="18"/>
      <c r="Q20" s="18"/>
      <c r="R20" s="18"/>
      <c r="S20" s="18"/>
      <c r="T20" s="18"/>
    </row>
    <row r="21" spans="1:20" x14ac:dyDescent="0.35">
      <c r="A21" t="s">
        <v>178</v>
      </c>
      <c r="B21" t="s">
        <v>197</v>
      </c>
      <c r="C21" t="s">
        <v>198</v>
      </c>
      <c r="D21" s="16">
        <v>-76.569999999999709</v>
      </c>
      <c r="E21" s="16">
        <v>-104.89999999999964</v>
      </c>
      <c r="O21" s="18"/>
      <c r="P21" s="18"/>
      <c r="Q21" s="18"/>
      <c r="R21" s="18"/>
      <c r="S21" s="18"/>
      <c r="T21" s="18"/>
    </row>
    <row r="22" spans="1:20" x14ac:dyDescent="0.35">
      <c r="A22" t="s">
        <v>178</v>
      </c>
      <c r="B22" t="s">
        <v>174</v>
      </c>
      <c r="C22" t="s">
        <v>175</v>
      </c>
      <c r="D22" s="16">
        <v>6422.5</v>
      </c>
      <c r="E22" s="16">
        <v>8798.83</v>
      </c>
      <c r="O22" s="18"/>
      <c r="P22" s="18"/>
      <c r="Q22" s="18"/>
      <c r="R22" s="18"/>
      <c r="S22" s="18"/>
      <c r="T22" s="18"/>
    </row>
    <row r="23" spans="1:20" x14ac:dyDescent="0.35">
      <c r="A23" t="s">
        <v>178</v>
      </c>
      <c r="B23" t="s">
        <v>217</v>
      </c>
      <c r="C23" t="s">
        <v>218</v>
      </c>
      <c r="D23" s="16">
        <v>147.72</v>
      </c>
      <c r="E23" s="16">
        <v>202.38</v>
      </c>
      <c r="F23" t="s">
        <v>240</v>
      </c>
      <c r="O23" s="18"/>
      <c r="P23" s="18"/>
      <c r="Q23" s="18"/>
      <c r="R23" s="18"/>
      <c r="S23" s="18"/>
      <c r="T23" s="18"/>
    </row>
    <row r="24" spans="1:20" x14ac:dyDescent="0.35">
      <c r="A24" t="s">
        <v>178</v>
      </c>
      <c r="B24" t="s">
        <v>228</v>
      </c>
      <c r="C24" t="s">
        <v>229</v>
      </c>
      <c r="D24" s="16">
        <v>6352.28</v>
      </c>
      <c r="E24" s="16">
        <v>8702.6200000000008</v>
      </c>
      <c r="F24" t="s">
        <v>240</v>
      </c>
      <c r="O24" s="18"/>
      <c r="P24" s="18"/>
      <c r="Q24" s="18"/>
      <c r="R24" s="18"/>
      <c r="S24" s="18"/>
      <c r="T24" s="18"/>
    </row>
    <row r="25" spans="1:20" x14ac:dyDescent="0.35">
      <c r="A25" t="s">
        <v>178</v>
      </c>
      <c r="B25" t="s">
        <v>233</v>
      </c>
      <c r="C25" t="s">
        <v>234</v>
      </c>
      <c r="D25" s="16">
        <v>250</v>
      </c>
      <c r="E25" s="16">
        <v>342.5</v>
      </c>
      <c r="F25" t="s">
        <v>240</v>
      </c>
      <c r="O25" s="18"/>
      <c r="P25" s="18"/>
      <c r="Q25" s="18"/>
      <c r="R25" s="18"/>
      <c r="S25" s="18"/>
      <c r="T25" s="18"/>
    </row>
    <row r="26" spans="1:20" x14ac:dyDescent="0.35">
      <c r="A26" t="s">
        <v>241</v>
      </c>
      <c r="D26" s="16">
        <v>0</v>
      </c>
      <c r="E26" s="16">
        <v>-1.8189894035458565E-12</v>
      </c>
      <c r="O26" s="18"/>
      <c r="P26" s="18"/>
      <c r="Q26" s="18"/>
      <c r="R26" s="18"/>
      <c r="S26" s="18"/>
      <c r="T26" s="18"/>
    </row>
    <row r="27" spans="1:20" x14ac:dyDescent="0.35">
      <c r="O27" s="18"/>
      <c r="P27" s="18"/>
      <c r="Q27" s="18"/>
      <c r="R27" s="18"/>
      <c r="S27" s="18"/>
      <c r="T27" s="18"/>
    </row>
    <row r="28" spans="1:20" x14ac:dyDescent="0.35">
      <c r="O28" s="18"/>
      <c r="P28" s="18"/>
      <c r="Q28" s="18"/>
      <c r="R28" s="18"/>
      <c r="S28" s="18"/>
      <c r="T28" s="18"/>
    </row>
    <row r="29" spans="1:20" x14ac:dyDescent="0.35">
      <c r="O29" s="18"/>
      <c r="P29" s="18"/>
      <c r="Q29" s="18"/>
      <c r="R29" s="18"/>
      <c r="S29" s="18"/>
      <c r="T29" s="18"/>
    </row>
    <row r="30" spans="1:20" x14ac:dyDescent="0.35">
      <c r="O30" s="18"/>
      <c r="P30" s="18"/>
      <c r="Q30" s="18"/>
      <c r="R30" s="18"/>
      <c r="S30" s="18"/>
      <c r="T30" s="18"/>
    </row>
    <row r="31" spans="1:20" x14ac:dyDescent="0.35">
      <c r="O31" s="18"/>
      <c r="P31" s="18"/>
      <c r="Q31" s="18"/>
      <c r="R31" s="18"/>
      <c r="S31" s="18"/>
      <c r="T31" s="18"/>
    </row>
    <row r="32" spans="1:20" x14ac:dyDescent="0.35">
      <c r="O32" s="18"/>
      <c r="P32" s="18"/>
      <c r="Q32" s="18"/>
      <c r="R32" s="18"/>
      <c r="S32" s="18"/>
      <c r="T32" s="1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BCF1-1AF5-4CF9-B7EE-0CB4289D05E1}">
  <dimension ref="A2:M53"/>
  <sheetViews>
    <sheetView showGridLines="0" tabSelected="1" workbookViewId="0">
      <selection activeCell="K11" sqref="K11"/>
    </sheetView>
  </sheetViews>
  <sheetFormatPr defaultColWidth="8.7265625" defaultRowHeight="14.5" x14ac:dyDescent="0.35"/>
  <cols>
    <col min="1" max="1" width="18.7265625" style="19" customWidth="1"/>
    <col min="2" max="2" width="46.7265625" style="19" customWidth="1"/>
    <col min="3" max="3" width="28.453125" style="19" customWidth="1"/>
    <col min="4" max="4" width="24.54296875" style="19" customWidth="1"/>
    <col min="5" max="5" width="12.453125" style="19" customWidth="1"/>
    <col min="6" max="6" width="29.81640625" style="19" customWidth="1"/>
    <col min="7" max="7" width="26.54296875" style="19" customWidth="1"/>
    <col min="8" max="8" width="24.453125" style="20" customWidth="1"/>
    <col min="9" max="9" width="29.26953125" style="19" customWidth="1"/>
    <col min="10" max="10" width="26.54296875" style="19" customWidth="1"/>
    <col min="11" max="11" width="23" style="19" customWidth="1"/>
    <col min="12" max="12" width="11.26953125" style="19" customWidth="1"/>
    <col min="13" max="16384" width="8.7265625" style="19"/>
  </cols>
  <sheetData>
    <row r="2" spans="1:13" x14ac:dyDescent="0.35">
      <c r="A2" s="19" t="s">
        <v>140</v>
      </c>
      <c r="B2" s="19" t="s">
        <v>12</v>
      </c>
    </row>
    <row r="3" spans="1:13" x14ac:dyDescent="0.35">
      <c r="A3" s="19" t="s">
        <v>4</v>
      </c>
      <c r="B3" s="19" t="s">
        <v>5</v>
      </c>
    </row>
    <row r="4" spans="1:13" ht="15" thickBot="1" x14ac:dyDescent="0.4"/>
    <row r="5" spans="1:13" ht="15" thickBot="1" x14ac:dyDescent="0.4">
      <c r="A5" s="65" t="s">
        <v>242</v>
      </c>
      <c r="B5" s="66"/>
      <c r="C5" s="66"/>
      <c r="D5" s="66"/>
      <c r="E5" s="66"/>
      <c r="F5" s="66"/>
      <c r="G5" s="66"/>
      <c r="H5" s="66"/>
      <c r="I5" s="66"/>
      <c r="J5" s="66"/>
      <c r="K5" s="67"/>
    </row>
    <row r="6" spans="1:13" ht="15" thickBot="1" x14ac:dyDescent="0.4"/>
    <row r="7" spans="1:13" ht="15" thickBot="1" x14ac:dyDescent="0.4">
      <c r="A7" s="21" t="s">
        <v>243</v>
      </c>
      <c r="E7" s="22"/>
      <c r="F7" s="68" t="s">
        <v>244</v>
      </c>
      <c r="G7" s="69"/>
      <c r="I7" s="70" t="s">
        <v>245</v>
      </c>
      <c r="J7" s="71"/>
    </row>
    <row r="8" spans="1:13" ht="29" x14ac:dyDescent="0.35">
      <c r="A8" s="23" t="s">
        <v>246</v>
      </c>
      <c r="B8" s="23" t="s">
        <v>134</v>
      </c>
      <c r="C8" s="24" t="s">
        <v>247</v>
      </c>
      <c r="D8" s="24" t="s">
        <v>248</v>
      </c>
      <c r="E8" s="23" t="s">
        <v>249</v>
      </c>
      <c r="F8" s="25" t="s">
        <v>250</v>
      </c>
      <c r="G8" s="25" t="s">
        <v>251</v>
      </c>
      <c r="H8" s="24" t="s">
        <v>252</v>
      </c>
      <c r="I8" s="26" t="s">
        <v>253</v>
      </c>
      <c r="J8" s="25" t="s">
        <v>254</v>
      </c>
      <c r="K8" s="23" t="s">
        <v>255</v>
      </c>
    </row>
    <row r="9" spans="1:13" x14ac:dyDescent="0.35">
      <c r="A9" s="40" t="s">
        <v>226</v>
      </c>
      <c r="B9" s="41" t="s">
        <v>227</v>
      </c>
      <c r="C9" s="27" t="s">
        <v>256</v>
      </c>
      <c r="D9" s="28" t="s">
        <v>257</v>
      </c>
      <c r="E9" s="40" t="s">
        <v>9</v>
      </c>
      <c r="F9" s="29">
        <v>-7818.19</v>
      </c>
      <c r="G9" s="29">
        <v>-12040.01</v>
      </c>
      <c r="H9" s="30" t="s">
        <v>258</v>
      </c>
      <c r="I9" s="27">
        <v>1.54</v>
      </c>
      <c r="J9" s="31">
        <f>I9*F9</f>
        <v>-12040.0126</v>
      </c>
      <c r="K9" s="32">
        <f t="shared" ref="K9:K16" si="0">G9-J9</f>
        <v>2.599999999802094E-3</v>
      </c>
    </row>
    <row r="10" spans="1:13" x14ac:dyDescent="0.35">
      <c r="A10" s="40" t="s">
        <v>179</v>
      </c>
      <c r="B10" s="41" t="s">
        <v>180</v>
      </c>
      <c r="C10" s="27" t="s">
        <v>259</v>
      </c>
      <c r="D10" s="28" t="s">
        <v>257</v>
      </c>
      <c r="E10" s="40" t="s">
        <v>9</v>
      </c>
      <c r="F10" s="29">
        <v>0</v>
      </c>
      <c r="G10" s="29">
        <v>0</v>
      </c>
      <c r="H10" s="30" t="s">
        <v>258</v>
      </c>
      <c r="I10" s="27">
        <v>1.54</v>
      </c>
      <c r="J10" s="31">
        <f t="shared" ref="J10:J22" si="1">I10*F10</f>
        <v>0</v>
      </c>
      <c r="K10" s="32">
        <f t="shared" si="0"/>
        <v>0</v>
      </c>
    </row>
    <row r="11" spans="1:13" x14ac:dyDescent="0.35">
      <c r="A11" s="40" t="s">
        <v>195</v>
      </c>
      <c r="B11" s="41" t="s">
        <v>196</v>
      </c>
      <c r="C11" s="27" t="s">
        <v>156</v>
      </c>
      <c r="D11" s="28" t="s">
        <v>260</v>
      </c>
      <c r="E11" s="40" t="s">
        <v>9</v>
      </c>
      <c r="F11" s="29">
        <v>-8900</v>
      </c>
      <c r="G11" s="29">
        <v>-13706</v>
      </c>
      <c r="H11" s="30" t="s">
        <v>261</v>
      </c>
      <c r="I11" s="27">
        <v>1.68</v>
      </c>
      <c r="J11" s="31">
        <f>I11*F11</f>
        <v>-14952</v>
      </c>
      <c r="K11" s="32">
        <f t="shared" si="0"/>
        <v>1246</v>
      </c>
      <c r="M11" s="33"/>
    </row>
    <row r="12" spans="1:13" x14ac:dyDescent="0.35">
      <c r="A12" s="40" t="s">
        <v>185</v>
      </c>
      <c r="B12" s="41" t="s">
        <v>186</v>
      </c>
      <c r="C12" s="27" t="s">
        <v>259</v>
      </c>
      <c r="D12" s="28" t="s">
        <v>257</v>
      </c>
      <c r="E12" s="40" t="s">
        <v>9</v>
      </c>
      <c r="F12" s="29">
        <v>189810.28</v>
      </c>
      <c r="G12" s="29">
        <v>292307.83</v>
      </c>
      <c r="H12" s="30" t="s">
        <v>258</v>
      </c>
      <c r="I12" s="27">
        <v>1.54</v>
      </c>
      <c r="J12" s="31">
        <f t="shared" si="1"/>
        <v>292307.83120000002</v>
      </c>
      <c r="K12" s="32">
        <f t="shared" si="0"/>
        <v>-1.1999999987892807E-3</v>
      </c>
      <c r="M12" s="33"/>
    </row>
    <row r="13" spans="1:13" x14ac:dyDescent="0.35">
      <c r="A13" s="40" t="s">
        <v>211</v>
      </c>
      <c r="B13" s="41" t="s">
        <v>212</v>
      </c>
      <c r="C13" s="27" t="s">
        <v>156</v>
      </c>
      <c r="D13" s="28" t="s">
        <v>260</v>
      </c>
      <c r="E13" s="40" t="s">
        <v>9</v>
      </c>
      <c r="F13" s="29">
        <v>-181.81</v>
      </c>
      <c r="G13" s="29">
        <v>-279.99</v>
      </c>
      <c r="H13" s="30" t="s">
        <v>261</v>
      </c>
      <c r="I13" s="27">
        <v>1.68</v>
      </c>
      <c r="J13" s="31">
        <f t="shared" si="1"/>
        <v>-305.44079999999997</v>
      </c>
      <c r="K13" s="32">
        <f t="shared" si="0"/>
        <v>25.450799999999958</v>
      </c>
      <c r="L13" s="34" t="s">
        <v>262</v>
      </c>
    </row>
    <row r="14" spans="1:13" x14ac:dyDescent="0.35">
      <c r="A14" s="40" t="s">
        <v>202</v>
      </c>
      <c r="B14" s="41" t="s">
        <v>200</v>
      </c>
      <c r="C14" s="27" t="s">
        <v>156</v>
      </c>
      <c r="D14" s="28" t="s">
        <v>260</v>
      </c>
      <c r="E14" s="40" t="s">
        <v>9</v>
      </c>
      <c r="F14" s="29">
        <v>0</v>
      </c>
      <c r="G14" s="29">
        <v>0</v>
      </c>
      <c r="H14" s="30" t="s">
        <v>261</v>
      </c>
      <c r="I14" s="27">
        <v>1.68</v>
      </c>
      <c r="J14" s="31">
        <f t="shared" si="1"/>
        <v>0</v>
      </c>
      <c r="K14" s="32">
        <f t="shared" si="0"/>
        <v>0</v>
      </c>
    </row>
    <row r="15" spans="1:13" x14ac:dyDescent="0.35">
      <c r="A15" s="40" t="s">
        <v>197</v>
      </c>
      <c r="B15" s="41" t="s">
        <v>198</v>
      </c>
      <c r="C15" s="27" t="s">
        <v>156</v>
      </c>
      <c r="D15" s="28" t="s">
        <v>260</v>
      </c>
      <c r="E15" s="40" t="s">
        <v>9</v>
      </c>
      <c r="F15" s="29">
        <v>-94336</v>
      </c>
      <c r="G15" s="29">
        <v>-145277.44</v>
      </c>
      <c r="H15" s="30" t="s">
        <v>261</v>
      </c>
      <c r="I15" s="27">
        <v>1.68</v>
      </c>
      <c r="J15" s="31">
        <f t="shared" si="1"/>
        <v>-158484.47999999998</v>
      </c>
      <c r="K15" s="32">
        <f>G15-J15</f>
        <v>13207.039999999979</v>
      </c>
      <c r="M15" s="33"/>
    </row>
    <row r="16" spans="1:13" x14ac:dyDescent="0.35">
      <c r="A16" s="40" t="s">
        <v>174</v>
      </c>
      <c r="B16" s="41" t="s">
        <v>175</v>
      </c>
      <c r="C16" s="27" t="s">
        <v>156</v>
      </c>
      <c r="D16" s="28" t="s">
        <v>260</v>
      </c>
      <c r="E16" s="40" t="s">
        <v>9</v>
      </c>
      <c r="F16" s="29">
        <v>-87474.28</v>
      </c>
      <c r="G16" s="29">
        <v>-134710.39000000001</v>
      </c>
      <c r="H16" s="30" t="s">
        <v>261</v>
      </c>
      <c r="I16" s="27">
        <v>1.68</v>
      </c>
      <c r="J16" s="31">
        <f t="shared" si="1"/>
        <v>-146956.7904</v>
      </c>
      <c r="K16" s="32">
        <f t="shared" si="0"/>
        <v>12246.400399999984</v>
      </c>
    </row>
    <row r="17" spans="1:12" x14ac:dyDescent="0.35">
      <c r="A17" s="40" t="s">
        <v>226</v>
      </c>
      <c r="B17" s="41" t="s">
        <v>227</v>
      </c>
      <c r="C17" s="27" t="s">
        <v>256</v>
      </c>
      <c r="D17" s="28" t="s">
        <v>257</v>
      </c>
      <c r="E17" s="40" t="s">
        <v>178</v>
      </c>
      <c r="F17" s="39">
        <v>-6352.28</v>
      </c>
      <c r="G17" s="39">
        <v>-8702.6200000000008</v>
      </c>
      <c r="H17" s="30" t="s">
        <v>258</v>
      </c>
      <c r="I17" s="27">
        <v>1.37</v>
      </c>
      <c r="J17" s="31">
        <f t="shared" si="1"/>
        <v>-8702.6236000000008</v>
      </c>
      <c r="K17" s="32">
        <f t="shared" ref="K17:K21" si="2">G17-J17</f>
        <v>3.6000000000058208E-3</v>
      </c>
    </row>
    <row r="18" spans="1:12" x14ac:dyDescent="0.35">
      <c r="A18" s="40" t="s">
        <v>195</v>
      </c>
      <c r="B18" s="41" t="s">
        <v>196</v>
      </c>
      <c r="C18" s="27" t="s">
        <v>259</v>
      </c>
      <c r="D18" s="28" t="s">
        <v>257</v>
      </c>
      <c r="E18" s="40" t="s">
        <v>178</v>
      </c>
      <c r="F18" s="39">
        <v>-6750</v>
      </c>
      <c r="G18" s="39">
        <v>-9247.5</v>
      </c>
      <c r="H18" s="30" t="s">
        <v>258</v>
      </c>
      <c r="I18" s="27">
        <v>1.37</v>
      </c>
      <c r="J18" s="31">
        <f t="shared" si="1"/>
        <v>-9247.5</v>
      </c>
      <c r="K18" s="32">
        <f t="shared" si="2"/>
        <v>0</v>
      </c>
    </row>
    <row r="19" spans="1:12" x14ac:dyDescent="0.35">
      <c r="A19" s="40" t="s">
        <v>211</v>
      </c>
      <c r="B19" s="41" t="s">
        <v>212</v>
      </c>
      <c r="C19" s="27" t="s">
        <v>156</v>
      </c>
      <c r="D19" s="28" t="s">
        <v>260</v>
      </c>
      <c r="E19" s="40" t="s">
        <v>178</v>
      </c>
      <c r="F19" s="39">
        <v>6.3499999999999943</v>
      </c>
      <c r="G19" s="39">
        <v>8.6899999999999977</v>
      </c>
      <c r="H19" s="30" t="s">
        <v>261</v>
      </c>
      <c r="I19" s="27">
        <v>1.18</v>
      </c>
      <c r="J19" s="31">
        <f t="shared" si="1"/>
        <v>7.4929999999999932</v>
      </c>
      <c r="K19" s="32">
        <f t="shared" si="2"/>
        <v>1.1970000000000045</v>
      </c>
      <c r="L19" s="34" t="s">
        <v>262</v>
      </c>
    </row>
    <row r="20" spans="1:12" x14ac:dyDescent="0.35">
      <c r="A20" s="40" t="s">
        <v>202</v>
      </c>
      <c r="B20" s="41" t="s">
        <v>200</v>
      </c>
      <c r="C20" s="27" t="s">
        <v>259</v>
      </c>
      <c r="D20" s="28" t="s">
        <v>257</v>
      </c>
      <c r="E20" s="40" t="s">
        <v>178</v>
      </c>
      <c r="F20" s="39">
        <v>0</v>
      </c>
      <c r="G20" s="39">
        <v>0</v>
      </c>
      <c r="H20" s="30" t="s">
        <v>258</v>
      </c>
      <c r="I20" s="27">
        <v>1.37</v>
      </c>
      <c r="J20" s="31">
        <f t="shared" si="1"/>
        <v>0</v>
      </c>
      <c r="K20" s="32">
        <f t="shared" si="2"/>
        <v>0</v>
      </c>
    </row>
    <row r="21" spans="1:12" x14ac:dyDescent="0.35">
      <c r="A21" s="40" t="s">
        <v>197</v>
      </c>
      <c r="B21" s="41" t="s">
        <v>198</v>
      </c>
      <c r="C21" s="27" t="s">
        <v>156</v>
      </c>
      <c r="D21" s="28" t="s">
        <v>260</v>
      </c>
      <c r="E21" s="40" t="s">
        <v>178</v>
      </c>
      <c r="F21" s="39">
        <v>-76.569999999999709</v>
      </c>
      <c r="G21" s="39">
        <v>-104.89999999999964</v>
      </c>
      <c r="H21" s="30" t="s">
        <v>261</v>
      </c>
      <c r="I21" s="27">
        <v>1.18</v>
      </c>
      <c r="J21" s="31">
        <f t="shared" si="1"/>
        <v>-90.352599999999654</v>
      </c>
      <c r="K21" s="32">
        <f t="shared" si="2"/>
        <v>-14.547399999999982</v>
      </c>
      <c r="L21" s="34" t="s">
        <v>262</v>
      </c>
    </row>
    <row r="22" spans="1:12" x14ac:dyDescent="0.35">
      <c r="A22" s="40" t="s">
        <v>174</v>
      </c>
      <c r="B22" s="41" t="s">
        <v>175</v>
      </c>
      <c r="C22" s="27" t="s">
        <v>156</v>
      </c>
      <c r="D22" s="28" t="s">
        <v>260</v>
      </c>
      <c r="E22" s="40" t="s">
        <v>178</v>
      </c>
      <c r="F22" s="39">
        <v>6422.5</v>
      </c>
      <c r="G22" s="39">
        <v>8798.83</v>
      </c>
      <c r="H22" s="30" t="s">
        <v>261</v>
      </c>
      <c r="I22" s="27">
        <v>1.18</v>
      </c>
      <c r="J22" s="31">
        <f t="shared" si="1"/>
        <v>7578.5499999999993</v>
      </c>
      <c r="K22" s="32">
        <f>G22-J22</f>
        <v>1220.2800000000007</v>
      </c>
    </row>
    <row r="23" spans="1:12" x14ac:dyDescent="0.35">
      <c r="F23" s="35"/>
      <c r="G23" s="36"/>
      <c r="H23" s="37"/>
      <c r="J23" s="38"/>
      <c r="K23" s="38"/>
    </row>
    <row r="24" spans="1:12" x14ac:dyDescent="0.35">
      <c r="F24" s="35"/>
      <c r="G24" s="36"/>
      <c r="H24" s="37"/>
      <c r="J24" s="38"/>
      <c r="K24" s="38"/>
    </row>
    <row r="25" spans="1:12" x14ac:dyDescent="0.35">
      <c r="F25" s="35"/>
      <c r="G25" s="36"/>
      <c r="H25" s="37"/>
      <c r="J25" s="38"/>
      <c r="K25" s="38"/>
    </row>
    <row r="26" spans="1:12" x14ac:dyDescent="0.35">
      <c r="F26" s="35"/>
      <c r="G26" s="36"/>
      <c r="H26" s="37"/>
      <c r="J26" s="38"/>
      <c r="K26" s="38"/>
    </row>
    <row r="27" spans="1:12" x14ac:dyDescent="0.35">
      <c r="F27" s="35"/>
      <c r="G27" s="36"/>
      <c r="H27" s="37"/>
      <c r="J27" s="38"/>
      <c r="K27" s="38"/>
    </row>
    <row r="28" spans="1:12" x14ac:dyDescent="0.35">
      <c r="F28" s="35"/>
      <c r="G28" s="36"/>
      <c r="H28" s="37"/>
      <c r="J28" s="38"/>
      <c r="K28" s="38"/>
    </row>
    <row r="29" spans="1:12" x14ac:dyDescent="0.35">
      <c r="F29" s="35"/>
      <c r="G29" s="36"/>
      <c r="H29" s="37"/>
      <c r="J29" s="38"/>
      <c r="K29" s="38"/>
    </row>
    <row r="30" spans="1:12" x14ac:dyDescent="0.35">
      <c r="F30" s="35"/>
      <c r="G30" s="36"/>
      <c r="H30" s="37"/>
      <c r="J30" s="38"/>
      <c r="K30" s="38"/>
    </row>
    <row r="31" spans="1:12" x14ac:dyDescent="0.35">
      <c r="F31" s="35"/>
      <c r="G31" s="36"/>
      <c r="H31" s="37"/>
      <c r="J31" s="38"/>
      <c r="K31" s="38"/>
    </row>
    <row r="32" spans="1:12" x14ac:dyDescent="0.35">
      <c r="F32" s="35"/>
      <c r="G32" s="36"/>
      <c r="H32" s="37"/>
      <c r="J32" s="38"/>
      <c r="K32" s="38"/>
    </row>
    <row r="33" spans="6:11" x14ac:dyDescent="0.35">
      <c r="F33" s="35"/>
      <c r="G33" s="36"/>
      <c r="H33" s="37"/>
      <c r="J33" s="38"/>
      <c r="K33" s="38"/>
    </row>
    <row r="34" spans="6:11" x14ac:dyDescent="0.35">
      <c r="F34" s="35"/>
      <c r="G34" s="36"/>
      <c r="H34" s="37"/>
      <c r="J34" s="38"/>
      <c r="K34" s="38"/>
    </row>
    <row r="35" spans="6:11" x14ac:dyDescent="0.35">
      <c r="F35" s="35"/>
      <c r="G35" s="36"/>
      <c r="H35" s="37"/>
      <c r="J35" s="38"/>
      <c r="K35" s="38"/>
    </row>
    <row r="36" spans="6:11" x14ac:dyDescent="0.35">
      <c r="F36" s="35"/>
      <c r="G36" s="36"/>
      <c r="H36" s="37"/>
      <c r="J36" s="38"/>
      <c r="K36" s="38"/>
    </row>
    <row r="37" spans="6:11" x14ac:dyDescent="0.35">
      <c r="F37" s="35"/>
      <c r="G37" s="36"/>
      <c r="H37" s="37"/>
      <c r="J37" s="38"/>
      <c r="K37" s="38"/>
    </row>
    <row r="38" spans="6:11" x14ac:dyDescent="0.35">
      <c r="F38" s="35"/>
      <c r="G38" s="36"/>
      <c r="H38" s="37"/>
      <c r="J38" s="38"/>
      <c r="K38" s="38"/>
    </row>
    <row r="39" spans="6:11" x14ac:dyDescent="0.35">
      <c r="F39" s="35"/>
      <c r="G39" s="36"/>
      <c r="H39" s="37"/>
      <c r="J39" s="38"/>
      <c r="K39" s="38"/>
    </row>
    <row r="41" spans="6:11" x14ac:dyDescent="0.35">
      <c r="I41" s="38"/>
    </row>
    <row r="42" spans="6:11" x14ac:dyDescent="0.35">
      <c r="I42" s="38"/>
    </row>
    <row r="43" spans="6:11" x14ac:dyDescent="0.35">
      <c r="I43" s="38"/>
    </row>
    <row r="45" spans="6:11" x14ac:dyDescent="0.35">
      <c r="F45" s="21"/>
    </row>
    <row r="46" spans="6:11" x14ac:dyDescent="0.35">
      <c r="F46" s="50" t="s">
        <v>263</v>
      </c>
      <c r="G46" s="51">
        <f>-SUM(H48:H50)-G47</f>
        <v>25479.160399999964</v>
      </c>
      <c r="H46" s="52"/>
    </row>
    <row r="47" spans="6:11" x14ac:dyDescent="0.35">
      <c r="F47" s="53" t="str">
        <f>B22</f>
        <v>LT Lease Payable</v>
      </c>
      <c r="G47" s="54">
        <f>K22</f>
        <v>1220.2800000000007</v>
      </c>
      <c r="H47" s="55"/>
    </row>
    <row r="48" spans="6:11" x14ac:dyDescent="0.35">
      <c r="F48" s="56" t="s">
        <v>196</v>
      </c>
      <c r="H48" s="57">
        <f>-K11</f>
        <v>-1246</v>
      </c>
      <c r="I48" s="38"/>
    </row>
    <row r="49" spans="6:9" x14ac:dyDescent="0.35">
      <c r="F49" s="56" t="s">
        <v>264</v>
      </c>
      <c r="H49" s="57">
        <f>-K15</f>
        <v>-13207.039999999979</v>
      </c>
      <c r="I49" s="38"/>
    </row>
    <row r="50" spans="6:9" x14ac:dyDescent="0.35">
      <c r="F50" s="58" t="str">
        <f>B16</f>
        <v>LT Lease Payable</v>
      </c>
      <c r="G50" s="59"/>
      <c r="H50" s="60">
        <f>-K16</f>
        <v>-12246.400399999984</v>
      </c>
      <c r="I50" s="38"/>
    </row>
    <row r="51" spans="6:9" x14ac:dyDescent="0.35">
      <c r="I51" s="38"/>
    </row>
    <row r="52" spans="6:9" x14ac:dyDescent="0.35">
      <c r="I52" s="38"/>
    </row>
    <row r="53" spans="6:9" x14ac:dyDescent="0.35">
      <c r="I53" s="38"/>
    </row>
  </sheetData>
  <mergeCells count="3">
    <mergeCell ref="A5:K5"/>
    <mergeCell ref="F7:G7"/>
    <mergeCell ref="I7:J7"/>
  </mergeCells>
  <pageMargins left="0.7" right="0.7" top="0.75" bottom="0.75" header="0.3" footer="0.3"/>
  <pageSetup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A6D9-F261-4E8F-A366-EE7C5E10620D}">
  <dimension ref="A1"/>
  <sheetViews>
    <sheetView workbookViewId="0">
      <selection activeCell="G23" sqref="G23"/>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5113-3A8D-47A5-8962-5FEAE232E8D8}">
  <dimension ref="A1:BK137"/>
  <sheetViews>
    <sheetView topLeftCell="AL3" workbookViewId="0">
      <selection activeCell="L36" sqref="L36"/>
    </sheetView>
  </sheetViews>
  <sheetFormatPr defaultColWidth="8.7265625" defaultRowHeight="14.5" x14ac:dyDescent="0.35"/>
  <cols>
    <col min="1" max="1" width="24.54296875" style="3" bestFit="1" customWidth="1"/>
    <col min="2" max="2" width="26.453125" style="3" bestFit="1" customWidth="1"/>
    <col min="3" max="3" width="21.453125" style="3" bestFit="1" customWidth="1"/>
    <col min="4" max="4" width="23.54296875" style="3" bestFit="1" customWidth="1"/>
    <col min="5" max="5" width="21.81640625" style="3" bestFit="1" customWidth="1"/>
    <col min="6" max="6" width="23.1796875" style="3" bestFit="1" customWidth="1"/>
    <col min="7" max="7" width="34.453125" style="3" bestFit="1" customWidth="1"/>
    <col min="8" max="8" width="10.1796875" style="3" bestFit="1" customWidth="1"/>
    <col min="9" max="9" width="19.1796875" style="3" bestFit="1" customWidth="1"/>
    <col min="10" max="10" width="21.1796875" style="3" bestFit="1" customWidth="1"/>
    <col min="11" max="11" width="14.1796875" style="3" bestFit="1" customWidth="1"/>
    <col min="12" max="12" width="12.1796875" style="3" bestFit="1" customWidth="1"/>
    <col min="13" max="13" width="27.81640625" style="3" bestFit="1" customWidth="1"/>
    <col min="14" max="14" width="20.81640625" style="3" bestFit="1" customWidth="1"/>
    <col min="15" max="15" width="22.453125" style="3" bestFit="1" customWidth="1"/>
    <col min="16" max="16" width="28.54296875" style="3" bestFit="1" customWidth="1"/>
    <col min="17" max="17" width="16.54296875" style="3" bestFit="1" customWidth="1"/>
    <col min="18" max="18" width="20.453125" style="3" bestFit="1" customWidth="1"/>
    <col min="19" max="19" width="26" style="3" bestFit="1" customWidth="1"/>
    <col min="20" max="20" width="25.1796875" style="3" bestFit="1" customWidth="1"/>
    <col min="21" max="21" width="33.453125" style="3" bestFit="1" customWidth="1"/>
    <col min="22" max="22" width="26.1796875" style="3" bestFit="1" customWidth="1"/>
    <col min="23" max="23" width="22.54296875" style="3" bestFit="1" customWidth="1"/>
    <col min="24" max="24" width="20.453125" style="3" bestFit="1" customWidth="1"/>
    <col min="25" max="25" width="26.26953125" style="3" bestFit="1" customWidth="1"/>
    <col min="26" max="26" width="24.453125" style="3" bestFit="1" customWidth="1"/>
    <col min="27" max="27" width="24.54296875" style="3" bestFit="1" customWidth="1"/>
    <col min="28" max="28" width="13.1796875" style="3" bestFit="1" customWidth="1"/>
    <col min="29" max="29" width="32.81640625" style="3" bestFit="1" customWidth="1"/>
    <col min="30" max="30" width="33.26953125" style="3" bestFit="1" customWidth="1"/>
    <col min="31" max="31" width="41.81640625" style="3" bestFit="1" customWidth="1"/>
    <col min="32" max="32" width="42.453125" style="3" bestFit="1" customWidth="1"/>
    <col min="33" max="33" width="41.26953125" style="3" bestFit="1" customWidth="1"/>
    <col min="34" max="34" width="41.54296875" style="3" bestFit="1" customWidth="1"/>
    <col min="35" max="35" width="18.453125" style="3" bestFit="1" customWidth="1"/>
    <col min="36" max="36" width="20" style="3" bestFit="1" customWidth="1"/>
    <col min="37" max="37" width="20.453125" style="3" bestFit="1" customWidth="1"/>
    <col min="38" max="38" width="25.81640625" style="3" bestFit="1" customWidth="1"/>
    <col min="39" max="39" width="15.81640625" style="3" bestFit="1" customWidth="1"/>
    <col min="40" max="40" width="17.81640625" style="3" bestFit="1" customWidth="1"/>
    <col min="41" max="41" width="21.81640625" style="3" bestFit="1" customWidth="1"/>
    <col min="42" max="42" width="18" style="3" bestFit="1" customWidth="1"/>
    <col min="43" max="43" width="21" style="3" bestFit="1" customWidth="1"/>
    <col min="44" max="44" width="21.1796875" style="3" bestFit="1" customWidth="1"/>
    <col min="45" max="45" width="23.453125" style="3" bestFit="1" customWidth="1"/>
    <col min="46" max="46" width="22.453125" style="3" bestFit="1" customWidth="1"/>
    <col min="47" max="47" width="21.453125" style="3" bestFit="1" customWidth="1"/>
    <col min="48" max="48" width="12.7265625" style="3" bestFit="1" customWidth="1"/>
    <col min="49" max="49" width="23.54296875" style="3" bestFit="1" customWidth="1"/>
    <col min="50" max="50" width="27.453125" style="3" bestFit="1" customWidth="1"/>
    <col min="51" max="51" width="22.453125" style="3" bestFit="1" customWidth="1"/>
    <col min="52" max="52" width="16.54296875" style="3" bestFit="1" customWidth="1"/>
    <col min="53" max="53" width="23.453125" style="3" bestFit="1" customWidth="1"/>
    <col min="54" max="54" width="34.54296875" style="3" bestFit="1" customWidth="1"/>
    <col min="55" max="55" width="24.26953125" style="3" bestFit="1" customWidth="1"/>
    <col min="56" max="56" width="39.54296875" style="3" bestFit="1" customWidth="1"/>
    <col min="57" max="57" width="35.453125" style="3" bestFit="1" customWidth="1"/>
    <col min="58" max="58" width="22.81640625" style="3" bestFit="1" customWidth="1"/>
    <col min="59" max="59" width="38.1796875" style="3" bestFit="1" customWidth="1"/>
    <col min="60" max="60" width="34.1796875" style="3" bestFit="1" customWidth="1"/>
    <col min="61" max="61" width="22.81640625" style="3" bestFit="1" customWidth="1"/>
    <col min="62" max="62" width="38.1796875" style="3" bestFit="1" customWidth="1"/>
    <col min="63" max="63" width="34.1796875" style="3" bestFit="1" customWidth="1"/>
    <col min="64" max="16384" width="8.7265625" style="3"/>
  </cols>
  <sheetData>
    <row r="1" spans="1:6" ht="27.65" customHeight="1" x14ac:dyDescent="0.35">
      <c r="A1" s="76" t="s">
        <v>52</v>
      </c>
      <c r="B1" s="74"/>
      <c r="C1" s="74"/>
      <c r="D1" s="74"/>
      <c r="E1" s="74"/>
      <c r="F1" s="74"/>
    </row>
    <row r="2" spans="1:6" ht="27.65" customHeight="1" x14ac:dyDescent="0.35">
      <c r="A2" s="77" t="s">
        <v>53</v>
      </c>
      <c r="B2" s="74"/>
      <c r="C2" s="74"/>
      <c r="D2" s="74"/>
      <c r="E2" s="74"/>
      <c r="F2" s="74"/>
    </row>
    <row r="3" spans="1:6" ht="27.65" customHeight="1" x14ac:dyDescent="0.35">
      <c r="A3" s="78" t="s">
        <v>54</v>
      </c>
      <c r="B3" s="74"/>
      <c r="C3" s="78" t="s">
        <v>55</v>
      </c>
      <c r="D3" s="74"/>
      <c r="E3" s="78" t="s">
        <v>56</v>
      </c>
      <c r="F3" s="74"/>
    </row>
    <row r="4" spans="1:6" x14ac:dyDescent="0.35">
      <c r="A4" s="6" t="s">
        <v>57</v>
      </c>
      <c r="B4" s="7"/>
      <c r="C4" s="6" t="s">
        <v>58</v>
      </c>
      <c r="D4" s="7" t="s">
        <v>59</v>
      </c>
      <c r="E4" s="6" t="s">
        <v>60</v>
      </c>
      <c r="F4" s="8">
        <v>46037.81377969907</v>
      </c>
    </row>
    <row r="5" spans="1:6" x14ac:dyDescent="0.35">
      <c r="A5" s="6" t="s">
        <v>61</v>
      </c>
      <c r="B5" s="7"/>
      <c r="C5" s="6" t="s">
        <v>62</v>
      </c>
      <c r="D5" s="14">
        <v>45658</v>
      </c>
      <c r="E5" s="6" t="s">
        <v>63</v>
      </c>
      <c r="F5" s="7" t="s">
        <v>64</v>
      </c>
    </row>
    <row r="6" spans="1:6" x14ac:dyDescent="0.35">
      <c r="A6" s="6" t="s">
        <v>65</v>
      </c>
      <c r="B6" s="7"/>
      <c r="C6" s="6" t="s">
        <v>66</v>
      </c>
      <c r="D6" s="14">
        <v>45716</v>
      </c>
      <c r="E6" s="6" t="s">
        <v>67</v>
      </c>
      <c r="F6" s="10">
        <v>10000129</v>
      </c>
    </row>
    <row r="7" spans="1:6" x14ac:dyDescent="0.35">
      <c r="A7" s="6" t="s">
        <v>68</v>
      </c>
      <c r="B7" s="7"/>
      <c r="C7" s="6" t="s">
        <v>69</v>
      </c>
      <c r="D7" s="7"/>
      <c r="E7" s="6" t="s">
        <v>70</v>
      </c>
      <c r="F7" s="11">
        <v>110</v>
      </c>
    </row>
    <row r="8" spans="1:6" x14ac:dyDescent="0.35">
      <c r="A8" s="6" t="s">
        <v>71</v>
      </c>
      <c r="B8" s="7"/>
      <c r="C8" s="6" t="s">
        <v>72</v>
      </c>
      <c r="D8" s="7" t="s">
        <v>73</v>
      </c>
    </row>
    <row r="9" spans="1:6" x14ac:dyDescent="0.35">
      <c r="A9" s="6" t="s">
        <v>74</v>
      </c>
      <c r="B9" s="7"/>
      <c r="C9" s="6" t="s">
        <v>75</v>
      </c>
      <c r="D9" s="7"/>
    </row>
    <row r="10" spans="1:6" x14ac:dyDescent="0.35">
      <c r="A10" s="6" t="s">
        <v>76</v>
      </c>
      <c r="B10" s="7"/>
      <c r="C10" s="6" t="s">
        <v>77</v>
      </c>
      <c r="D10" s="7" t="s">
        <v>78</v>
      </c>
    </row>
    <row r="11" spans="1:6" x14ac:dyDescent="0.35">
      <c r="A11" s="6" t="s">
        <v>79</v>
      </c>
      <c r="B11" s="7"/>
      <c r="C11" s="6" t="s">
        <v>80</v>
      </c>
      <c r="D11" s="7" t="s">
        <v>78</v>
      </c>
    </row>
    <row r="12" spans="1:6" x14ac:dyDescent="0.35">
      <c r="A12" s="6" t="s">
        <v>81</v>
      </c>
      <c r="B12" s="7"/>
      <c r="C12" s="6" t="s">
        <v>82</v>
      </c>
      <c r="D12" s="7"/>
    </row>
    <row r="13" spans="1:6" x14ac:dyDescent="0.35">
      <c r="A13" s="6" t="s">
        <v>83</v>
      </c>
      <c r="B13" s="7"/>
      <c r="C13" s="6" t="s">
        <v>84</v>
      </c>
      <c r="D13" s="7" t="s">
        <v>78</v>
      </c>
    </row>
    <row r="14" spans="1:6" x14ac:dyDescent="0.35">
      <c r="A14" s="6" t="s">
        <v>85</v>
      </c>
      <c r="B14" s="7"/>
      <c r="C14" s="6" t="s">
        <v>86</v>
      </c>
      <c r="D14" s="7" t="s">
        <v>78</v>
      </c>
    </row>
    <row r="15" spans="1:6" x14ac:dyDescent="0.35">
      <c r="A15" s="6" t="s">
        <v>87</v>
      </c>
      <c r="B15" s="7"/>
      <c r="C15" s="6" t="s">
        <v>88</v>
      </c>
      <c r="D15" s="7" t="s">
        <v>78</v>
      </c>
    </row>
    <row r="16" spans="1:6" x14ac:dyDescent="0.35">
      <c r="A16" s="6" t="s">
        <v>89</v>
      </c>
      <c r="B16" s="7"/>
      <c r="C16" s="6" t="s">
        <v>90</v>
      </c>
      <c r="D16" s="7" t="s">
        <v>78</v>
      </c>
    </row>
    <row r="17" spans="1:63" x14ac:dyDescent="0.35">
      <c r="A17" s="6" t="s">
        <v>91</v>
      </c>
      <c r="B17" s="7" t="s">
        <v>92</v>
      </c>
      <c r="C17" s="6" t="s">
        <v>93</v>
      </c>
      <c r="D17" s="7" t="s">
        <v>78</v>
      </c>
    </row>
    <row r="18" spans="1:63" x14ac:dyDescent="0.35">
      <c r="A18" s="6" t="s">
        <v>94</v>
      </c>
      <c r="B18" s="7" t="s">
        <v>95</v>
      </c>
    </row>
    <row r="19" spans="1:63" x14ac:dyDescent="0.35">
      <c r="A19" s="73" t="s">
        <v>96</v>
      </c>
      <c r="B19" s="75" t="s">
        <v>97</v>
      </c>
    </row>
    <row r="20" spans="1:63" x14ac:dyDescent="0.35">
      <c r="A20" s="74"/>
      <c r="B20" s="74"/>
    </row>
    <row r="21" spans="1:63" x14ac:dyDescent="0.35">
      <c r="A21" s="74"/>
      <c r="B21" s="74"/>
    </row>
    <row r="22" spans="1:63" x14ac:dyDescent="0.35">
      <c r="A22" s="74"/>
      <c r="B22" s="74"/>
    </row>
    <row r="23" spans="1:63" x14ac:dyDescent="0.35">
      <c r="A23" s="74"/>
      <c r="B23" s="74"/>
    </row>
    <row r="24" spans="1:63" x14ac:dyDescent="0.35">
      <c r="A24" s="74"/>
      <c r="B24" s="74"/>
    </row>
    <row r="27" spans="1:63" ht="27.65" customHeight="1" x14ac:dyDescent="0.35">
      <c r="A27" s="5" t="s">
        <v>65</v>
      </c>
      <c r="B27" s="5" t="s">
        <v>74</v>
      </c>
      <c r="C27" s="5" t="s">
        <v>76</v>
      </c>
      <c r="D27" s="5" t="s">
        <v>81</v>
      </c>
      <c r="E27" s="5" t="s">
        <v>98</v>
      </c>
      <c r="F27" s="5" t="s">
        <v>99</v>
      </c>
      <c r="G27" s="5" t="s">
        <v>100</v>
      </c>
      <c r="H27" s="5" t="s">
        <v>101</v>
      </c>
      <c r="I27" s="5" t="s">
        <v>102</v>
      </c>
      <c r="J27" s="5" t="s">
        <v>103</v>
      </c>
      <c r="K27" s="5" t="s">
        <v>104</v>
      </c>
      <c r="L27" s="5" t="s">
        <v>105</v>
      </c>
      <c r="M27" s="5" t="s">
        <v>106</v>
      </c>
      <c r="N27" s="5" t="s">
        <v>107</v>
      </c>
      <c r="O27" s="5" t="s">
        <v>108</v>
      </c>
      <c r="P27" s="5" t="s">
        <v>109</v>
      </c>
      <c r="Q27" s="5" t="s">
        <v>110</v>
      </c>
      <c r="R27" s="5" t="s">
        <v>111</v>
      </c>
      <c r="S27" s="5" t="s">
        <v>112</v>
      </c>
      <c r="T27" s="5" t="s">
        <v>95</v>
      </c>
      <c r="U27" s="5" t="s">
        <v>113</v>
      </c>
      <c r="V27" s="5" t="s">
        <v>114</v>
      </c>
      <c r="W27" s="5" t="s">
        <v>61</v>
      </c>
      <c r="X27" s="5" t="s">
        <v>79</v>
      </c>
      <c r="Y27" s="5" t="s">
        <v>69</v>
      </c>
      <c r="Z27" s="5" t="s">
        <v>115</v>
      </c>
      <c r="AA27" s="5" t="s">
        <v>116</v>
      </c>
      <c r="AB27" s="5" t="s">
        <v>117</v>
      </c>
      <c r="AC27" s="5" t="s">
        <v>118</v>
      </c>
      <c r="AD27" s="5" t="s">
        <v>119</v>
      </c>
      <c r="AE27" s="5" t="s">
        <v>120</v>
      </c>
      <c r="AF27" s="5" t="s">
        <v>121</v>
      </c>
      <c r="AG27" s="5" t="s">
        <v>122</v>
      </c>
      <c r="AH27" s="5" t="s">
        <v>123</v>
      </c>
      <c r="AI27" s="5" t="s">
        <v>124</v>
      </c>
      <c r="AJ27" s="5" t="s">
        <v>125</v>
      </c>
      <c r="AK27" s="5" t="s">
        <v>88</v>
      </c>
      <c r="AL27" s="5" t="s">
        <v>126</v>
      </c>
      <c r="AM27" s="5" t="s">
        <v>127</v>
      </c>
      <c r="AN27" s="5" t="s">
        <v>128</v>
      </c>
      <c r="AO27" s="5" t="s">
        <v>129</v>
      </c>
      <c r="AP27" s="5" t="s">
        <v>59</v>
      </c>
      <c r="AQ27" s="5" t="s">
        <v>130</v>
      </c>
      <c r="AR27" s="5" t="s">
        <v>131</v>
      </c>
      <c r="AS27" s="5" t="s">
        <v>132</v>
      </c>
      <c r="AT27" s="5" t="s">
        <v>133</v>
      </c>
      <c r="AU27" s="5" t="s">
        <v>134</v>
      </c>
      <c r="AV27" s="5" t="s">
        <v>135</v>
      </c>
      <c r="AW27" s="5" t="s">
        <v>136</v>
      </c>
      <c r="AX27" s="5" t="s">
        <v>137</v>
      </c>
      <c r="AY27" s="5" t="s">
        <v>138</v>
      </c>
      <c r="AZ27" s="5" t="s">
        <v>139</v>
      </c>
      <c r="BA27" s="5" t="s">
        <v>140</v>
      </c>
      <c r="BB27" s="5" t="s">
        <v>141</v>
      </c>
      <c r="BC27" s="5" t="s">
        <v>142</v>
      </c>
      <c r="BD27" s="5" t="s">
        <v>143</v>
      </c>
      <c r="BE27" s="5" t="s">
        <v>144</v>
      </c>
      <c r="BF27" s="5" t="s">
        <v>145</v>
      </c>
      <c r="BG27" s="5" t="s">
        <v>146</v>
      </c>
      <c r="BH27" s="5" t="s">
        <v>147</v>
      </c>
      <c r="BI27" s="5" t="s">
        <v>148</v>
      </c>
      <c r="BJ27" s="5" t="s">
        <v>149</v>
      </c>
      <c r="BK27" s="5" t="s">
        <v>150</v>
      </c>
    </row>
    <row r="28" spans="1:63" x14ac:dyDescent="0.35">
      <c r="A28" s="7" t="s">
        <v>151</v>
      </c>
      <c r="B28" s="7" t="s">
        <v>152</v>
      </c>
      <c r="C28" s="7" t="s">
        <v>153</v>
      </c>
      <c r="D28" s="7"/>
      <c r="E28" s="7"/>
      <c r="F28" s="7" t="s">
        <v>154</v>
      </c>
      <c r="G28" s="7"/>
      <c r="H28" s="7"/>
      <c r="I28" s="7"/>
      <c r="J28" s="7"/>
      <c r="K28" s="7"/>
      <c r="L28" s="7" t="s">
        <v>155</v>
      </c>
      <c r="M28" s="7"/>
      <c r="N28" s="7"/>
      <c r="O28" s="7" t="s">
        <v>156</v>
      </c>
      <c r="P28" s="7" t="s">
        <v>157</v>
      </c>
      <c r="Q28" s="7" t="s">
        <v>158</v>
      </c>
      <c r="R28" s="7" t="s">
        <v>159</v>
      </c>
      <c r="S28" s="7" t="s">
        <v>160</v>
      </c>
      <c r="T28" s="7" t="s">
        <v>161</v>
      </c>
      <c r="U28" s="7"/>
      <c r="V28" s="7" t="s">
        <v>162</v>
      </c>
      <c r="W28" s="7" t="s">
        <v>163</v>
      </c>
      <c r="X28" s="7" t="s">
        <v>164</v>
      </c>
      <c r="Y28" s="7" t="s">
        <v>165</v>
      </c>
      <c r="Z28" s="7" t="s">
        <v>166</v>
      </c>
      <c r="AA28" s="7" t="s">
        <v>167</v>
      </c>
      <c r="AB28" s="7" t="s">
        <v>168</v>
      </c>
      <c r="AC28" s="7" t="s">
        <v>169</v>
      </c>
      <c r="AD28" s="7"/>
      <c r="AE28" s="7"/>
      <c r="AF28" s="7"/>
      <c r="AG28" s="7"/>
      <c r="AH28" s="7"/>
      <c r="AI28" s="7" t="s">
        <v>170</v>
      </c>
      <c r="AJ28" s="7" t="s">
        <v>171</v>
      </c>
      <c r="AK28" s="7" t="s">
        <v>172</v>
      </c>
      <c r="AL28" s="7"/>
      <c r="AM28" s="10">
        <v>2025</v>
      </c>
      <c r="AN28" s="10">
        <v>1</v>
      </c>
      <c r="AO28" s="9">
        <v>45658</v>
      </c>
      <c r="AP28" s="9">
        <v>45658</v>
      </c>
      <c r="AQ28" s="9">
        <v>45658</v>
      </c>
      <c r="AR28" s="7" t="s">
        <v>173</v>
      </c>
      <c r="AS28" s="7"/>
      <c r="AT28" s="7" t="s">
        <v>174</v>
      </c>
      <c r="AU28" s="7" t="s">
        <v>175</v>
      </c>
      <c r="AV28" s="7"/>
      <c r="AW28" s="7"/>
      <c r="AX28" s="7"/>
      <c r="AY28" s="7" t="s">
        <v>176</v>
      </c>
      <c r="AZ28" s="7" t="s">
        <v>177</v>
      </c>
      <c r="BA28" s="7" t="s">
        <v>9</v>
      </c>
      <c r="BB28" s="12">
        <v>-189810.28</v>
      </c>
      <c r="BC28" s="7" t="s">
        <v>12</v>
      </c>
      <c r="BD28" s="13">
        <v>1.54</v>
      </c>
      <c r="BE28" s="12">
        <v>-292307.83</v>
      </c>
      <c r="BF28" s="7" t="s">
        <v>178</v>
      </c>
      <c r="BG28" s="13">
        <v>2.85</v>
      </c>
      <c r="BH28" s="12">
        <v>-833077.32</v>
      </c>
      <c r="BI28" s="7"/>
      <c r="BJ28" s="13"/>
      <c r="BK28" s="12"/>
    </row>
    <row r="29" spans="1:63" x14ac:dyDescent="0.35">
      <c r="A29" s="7" t="s">
        <v>151</v>
      </c>
      <c r="B29" s="7" t="s">
        <v>152</v>
      </c>
      <c r="C29" s="7" t="s">
        <v>153</v>
      </c>
      <c r="D29" s="7"/>
      <c r="E29" s="7"/>
      <c r="F29" s="7" t="s">
        <v>154</v>
      </c>
      <c r="G29" s="7"/>
      <c r="H29" s="7"/>
      <c r="I29" s="7"/>
      <c r="J29" s="7"/>
      <c r="K29" s="7"/>
      <c r="L29" s="7" t="s">
        <v>155</v>
      </c>
      <c r="M29" s="7"/>
      <c r="N29" s="7"/>
      <c r="O29" s="7" t="s">
        <v>156</v>
      </c>
      <c r="P29" s="7" t="s">
        <v>157</v>
      </c>
      <c r="Q29" s="7" t="s">
        <v>158</v>
      </c>
      <c r="R29" s="7" t="s">
        <v>159</v>
      </c>
      <c r="S29" s="7" t="s">
        <v>160</v>
      </c>
      <c r="T29" s="7" t="s">
        <v>161</v>
      </c>
      <c r="U29" s="7"/>
      <c r="V29" s="7" t="s">
        <v>162</v>
      </c>
      <c r="W29" s="7" t="s">
        <v>163</v>
      </c>
      <c r="X29" s="7" t="s">
        <v>164</v>
      </c>
      <c r="Y29" s="7" t="s">
        <v>165</v>
      </c>
      <c r="Z29" s="7" t="s">
        <v>166</v>
      </c>
      <c r="AA29" s="7" t="s">
        <v>167</v>
      </c>
      <c r="AB29" s="7" t="s">
        <v>168</v>
      </c>
      <c r="AC29" s="7" t="s">
        <v>169</v>
      </c>
      <c r="AD29" s="7"/>
      <c r="AE29" s="7"/>
      <c r="AF29" s="7"/>
      <c r="AG29" s="7"/>
      <c r="AH29" s="7"/>
      <c r="AI29" s="7" t="s">
        <v>170</v>
      </c>
      <c r="AJ29" s="7" t="s">
        <v>171</v>
      </c>
      <c r="AK29" s="7" t="s">
        <v>172</v>
      </c>
      <c r="AL29" s="7"/>
      <c r="AM29" s="10">
        <v>2025</v>
      </c>
      <c r="AN29" s="10">
        <v>1</v>
      </c>
      <c r="AO29" s="9">
        <v>45658</v>
      </c>
      <c r="AP29" s="9">
        <v>45658</v>
      </c>
      <c r="AQ29" s="9">
        <v>45658</v>
      </c>
      <c r="AR29" s="7" t="s">
        <v>173</v>
      </c>
      <c r="AS29" s="7"/>
      <c r="AT29" s="7" t="s">
        <v>179</v>
      </c>
      <c r="AU29" s="7" t="s">
        <v>180</v>
      </c>
      <c r="AV29" s="7"/>
      <c r="AW29" s="7"/>
      <c r="AX29" s="7"/>
      <c r="AY29" s="7" t="s">
        <v>181</v>
      </c>
      <c r="AZ29" s="7" t="s">
        <v>177</v>
      </c>
      <c r="BA29" s="7" t="s">
        <v>9</v>
      </c>
      <c r="BB29" s="12">
        <v>189810.28</v>
      </c>
      <c r="BC29" s="7" t="s">
        <v>12</v>
      </c>
      <c r="BD29" s="13">
        <v>1.54</v>
      </c>
      <c r="BE29" s="12">
        <v>292307.83</v>
      </c>
      <c r="BF29" s="7" t="s">
        <v>178</v>
      </c>
      <c r="BG29" s="13">
        <v>2.85</v>
      </c>
      <c r="BH29" s="12">
        <v>833077.32</v>
      </c>
      <c r="BI29" s="7"/>
      <c r="BJ29" s="13"/>
      <c r="BK29" s="12"/>
    </row>
    <row r="30" spans="1:63" x14ac:dyDescent="0.35">
      <c r="A30" s="7" t="s">
        <v>151</v>
      </c>
      <c r="B30" s="7" t="s">
        <v>152</v>
      </c>
      <c r="C30" s="7" t="s">
        <v>153</v>
      </c>
      <c r="D30" s="7"/>
      <c r="E30" s="7"/>
      <c r="F30" s="7" t="s">
        <v>154</v>
      </c>
      <c r="G30" s="7"/>
      <c r="H30" s="7"/>
      <c r="I30" s="7"/>
      <c r="J30" s="7"/>
      <c r="K30" s="7"/>
      <c r="L30" s="7" t="s">
        <v>155</v>
      </c>
      <c r="M30" s="7"/>
      <c r="N30" s="7"/>
      <c r="O30" s="7" t="s">
        <v>182</v>
      </c>
      <c r="P30" s="7" t="s">
        <v>183</v>
      </c>
      <c r="Q30" s="7" t="s">
        <v>158</v>
      </c>
      <c r="R30" s="7" t="s">
        <v>159</v>
      </c>
      <c r="S30" s="7" t="s">
        <v>160</v>
      </c>
      <c r="T30" s="7" t="s">
        <v>161</v>
      </c>
      <c r="U30" s="7"/>
      <c r="V30" s="7" t="s">
        <v>162</v>
      </c>
      <c r="W30" s="7" t="s">
        <v>163</v>
      </c>
      <c r="X30" s="7" t="s">
        <v>164</v>
      </c>
      <c r="Y30" s="7" t="s">
        <v>165</v>
      </c>
      <c r="Z30" s="7" t="s">
        <v>166</v>
      </c>
      <c r="AA30" s="7" t="s">
        <v>167</v>
      </c>
      <c r="AB30" s="7" t="s">
        <v>168</v>
      </c>
      <c r="AC30" s="7" t="s">
        <v>184</v>
      </c>
      <c r="AD30" s="7"/>
      <c r="AE30" s="7"/>
      <c r="AF30" s="7"/>
      <c r="AG30" s="7"/>
      <c r="AH30" s="7"/>
      <c r="AI30" s="7" t="s">
        <v>170</v>
      </c>
      <c r="AJ30" s="7" t="s">
        <v>171</v>
      </c>
      <c r="AK30" s="7" t="s">
        <v>172</v>
      </c>
      <c r="AL30" s="7"/>
      <c r="AM30" s="10">
        <v>2025</v>
      </c>
      <c r="AN30" s="10">
        <v>1</v>
      </c>
      <c r="AO30" s="9">
        <v>45658</v>
      </c>
      <c r="AP30" s="9">
        <v>45658</v>
      </c>
      <c r="AQ30" s="9">
        <v>45658</v>
      </c>
      <c r="AR30" s="7" t="s">
        <v>173</v>
      </c>
      <c r="AS30" s="7"/>
      <c r="AT30" s="7" t="s">
        <v>185</v>
      </c>
      <c r="AU30" s="7" t="s">
        <v>186</v>
      </c>
      <c r="AV30" s="7"/>
      <c r="AW30" s="7"/>
      <c r="AX30" s="7"/>
      <c r="AY30" s="7" t="s">
        <v>181</v>
      </c>
      <c r="AZ30" s="7" t="s">
        <v>177</v>
      </c>
      <c r="BA30" s="7" t="s">
        <v>9</v>
      </c>
      <c r="BB30" s="12">
        <v>189810.28</v>
      </c>
      <c r="BC30" s="7" t="s">
        <v>12</v>
      </c>
      <c r="BD30" s="13">
        <v>1.54</v>
      </c>
      <c r="BE30" s="12">
        <v>292307.83</v>
      </c>
      <c r="BF30" s="7" t="s">
        <v>178</v>
      </c>
      <c r="BG30" s="13">
        <v>2.85</v>
      </c>
      <c r="BH30" s="12">
        <v>833077.32</v>
      </c>
      <c r="BI30" s="7"/>
      <c r="BJ30" s="13"/>
      <c r="BK30" s="12"/>
    </row>
    <row r="31" spans="1:63" x14ac:dyDescent="0.35">
      <c r="A31" s="7" t="s">
        <v>151</v>
      </c>
      <c r="B31" s="7" t="s">
        <v>152</v>
      </c>
      <c r="C31" s="7" t="s">
        <v>153</v>
      </c>
      <c r="D31" s="7"/>
      <c r="E31" s="7"/>
      <c r="F31" s="7" t="s">
        <v>154</v>
      </c>
      <c r="G31" s="7"/>
      <c r="H31" s="7"/>
      <c r="I31" s="7"/>
      <c r="J31" s="7"/>
      <c r="K31" s="7"/>
      <c r="L31" s="7" t="s">
        <v>155</v>
      </c>
      <c r="M31" s="7"/>
      <c r="N31" s="7"/>
      <c r="O31" s="7" t="s">
        <v>182</v>
      </c>
      <c r="P31" s="7" t="s">
        <v>183</v>
      </c>
      <c r="Q31" s="7" t="s">
        <v>158</v>
      </c>
      <c r="R31" s="7" t="s">
        <v>159</v>
      </c>
      <c r="S31" s="7" t="s">
        <v>160</v>
      </c>
      <c r="T31" s="7" t="s">
        <v>161</v>
      </c>
      <c r="U31" s="7"/>
      <c r="V31" s="7" t="s">
        <v>162</v>
      </c>
      <c r="W31" s="7" t="s">
        <v>163</v>
      </c>
      <c r="X31" s="7" t="s">
        <v>164</v>
      </c>
      <c r="Y31" s="7" t="s">
        <v>165</v>
      </c>
      <c r="Z31" s="7" t="s">
        <v>166</v>
      </c>
      <c r="AA31" s="7" t="s">
        <v>167</v>
      </c>
      <c r="AB31" s="7" t="s">
        <v>168</v>
      </c>
      <c r="AC31" s="7" t="s">
        <v>184</v>
      </c>
      <c r="AD31" s="7"/>
      <c r="AE31" s="7"/>
      <c r="AF31" s="7"/>
      <c r="AG31" s="7"/>
      <c r="AH31" s="7"/>
      <c r="AI31" s="7" t="s">
        <v>170</v>
      </c>
      <c r="AJ31" s="7" t="s">
        <v>171</v>
      </c>
      <c r="AK31" s="7" t="s">
        <v>172</v>
      </c>
      <c r="AL31" s="7"/>
      <c r="AM31" s="10">
        <v>2025</v>
      </c>
      <c r="AN31" s="10">
        <v>1</v>
      </c>
      <c r="AO31" s="9">
        <v>45658</v>
      </c>
      <c r="AP31" s="9">
        <v>45658</v>
      </c>
      <c r="AQ31" s="9">
        <v>45658</v>
      </c>
      <c r="AR31" s="7" t="s">
        <v>173</v>
      </c>
      <c r="AS31" s="7"/>
      <c r="AT31" s="7" t="s">
        <v>179</v>
      </c>
      <c r="AU31" s="7" t="s">
        <v>180</v>
      </c>
      <c r="AV31" s="7"/>
      <c r="AW31" s="7"/>
      <c r="AX31" s="7"/>
      <c r="AY31" s="7" t="s">
        <v>176</v>
      </c>
      <c r="AZ31" s="7" t="s">
        <v>177</v>
      </c>
      <c r="BA31" s="7" t="s">
        <v>9</v>
      </c>
      <c r="BB31" s="12">
        <v>-189810.28</v>
      </c>
      <c r="BC31" s="7" t="s">
        <v>12</v>
      </c>
      <c r="BD31" s="13">
        <v>1.54</v>
      </c>
      <c r="BE31" s="12">
        <v>-292307.83</v>
      </c>
      <c r="BF31" s="7" t="s">
        <v>178</v>
      </c>
      <c r="BG31" s="13">
        <v>2.85</v>
      </c>
      <c r="BH31" s="12">
        <v>-833077.32</v>
      </c>
      <c r="BI31" s="7"/>
      <c r="BJ31" s="13"/>
      <c r="BK31" s="12"/>
    </row>
    <row r="32" spans="1:63" x14ac:dyDescent="0.35">
      <c r="A32" s="7" t="s">
        <v>151</v>
      </c>
      <c r="B32" s="7" t="s">
        <v>152</v>
      </c>
      <c r="C32" s="7" t="s">
        <v>153</v>
      </c>
      <c r="D32" s="7"/>
      <c r="E32" s="7"/>
      <c r="F32" s="7" t="s">
        <v>154</v>
      </c>
      <c r="G32" s="7"/>
      <c r="H32" s="7"/>
      <c r="I32" s="7"/>
      <c r="J32" s="7"/>
      <c r="K32" s="7"/>
      <c r="L32" s="7" t="s">
        <v>155</v>
      </c>
      <c r="M32" s="7"/>
      <c r="N32" s="7"/>
      <c r="O32" s="7" t="s">
        <v>156</v>
      </c>
      <c r="P32" s="7" t="s">
        <v>157</v>
      </c>
      <c r="Q32" s="7" t="s">
        <v>158</v>
      </c>
      <c r="R32" s="7" t="s">
        <v>159</v>
      </c>
      <c r="S32" s="7" t="s">
        <v>160</v>
      </c>
      <c r="T32" s="7" t="s">
        <v>161</v>
      </c>
      <c r="U32" s="7"/>
      <c r="V32" s="7" t="s">
        <v>162</v>
      </c>
      <c r="W32" s="7" t="s">
        <v>163</v>
      </c>
      <c r="X32" s="7" t="s">
        <v>164</v>
      </c>
      <c r="Y32" s="7" t="s">
        <v>187</v>
      </c>
      <c r="Z32" s="7" t="s">
        <v>188</v>
      </c>
      <c r="AA32" s="7" t="s">
        <v>167</v>
      </c>
      <c r="AB32" s="7" t="s">
        <v>168</v>
      </c>
      <c r="AC32" s="7" t="s">
        <v>189</v>
      </c>
      <c r="AD32" s="7"/>
      <c r="AE32" s="7"/>
      <c r="AF32" s="7"/>
      <c r="AG32" s="7"/>
      <c r="AH32" s="7"/>
      <c r="AI32" s="7" t="s">
        <v>170</v>
      </c>
      <c r="AJ32" s="7" t="s">
        <v>171</v>
      </c>
      <c r="AK32" s="7" t="s">
        <v>172</v>
      </c>
      <c r="AL32" s="7"/>
      <c r="AM32" s="10">
        <v>2025</v>
      </c>
      <c r="AN32" s="10">
        <v>1</v>
      </c>
      <c r="AO32" s="9">
        <v>45658</v>
      </c>
      <c r="AP32" s="9">
        <v>45658</v>
      </c>
      <c r="AQ32" s="9">
        <v>45658</v>
      </c>
      <c r="AR32" s="7" t="s">
        <v>173</v>
      </c>
      <c r="AS32" s="7"/>
      <c r="AT32" s="7" t="s">
        <v>174</v>
      </c>
      <c r="AU32" s="7" t="s">
        <v>175</v>
      </c>
      <c r="AV32" s="7"/>
      <c r="AW32" s="7"/>
      <c r="AX32" s="7"/>
      <c r="AY32" s="7" t="s">
        <v>176</v>
      </c>
      <c r="AZ32" s="7" t="s">
        <v>177</v>
      </c>
      <c r="BA32" s="7" t="s">
        <v>9</v>
      </c>
      <c r="BB32" s="12">
        <v>-189810.28</v>
      </c>
      <c r="BC32" s="7" t="s">
        <v>12</v>
      </c>
      <c r="BD32" s="13">
        <v>1.54</v>
      </c>
      <c r="BE32" s="12">
        <v>-292307.83</v>
      </c>
      <c r="BF32" s="7" t="s">
        <v>178</v>
      </c>
      <c r="BG32" s="13">
        <v>2.85</v>
      </c>
      <c r="BH32" s="12">
        <v>-833077.32</v>
      </c>
      <c r="BI32" s="7"/>
      <c r="BJ32" s="13"/>
      <c r="BK32" s="12"/>
    </row>
    <row r="33" spans="1:63" x14ac:dyDescent="0.35">
      <c r="A33" s="7" t="s">
        <v>151</v>
      </c>
      <c r="B33" s="7" t="s">
        <v>152</v>
      </c>
      <c r="C33" s="7" t="s">
        <v>153</v>
      </c>
      <c r="D33" s="7"/>
      <c r="E33" s="7"/>
      <c r="F33" s="7" t="s">
        <v>154</v>
      </c>
      <c r="G33" s="7"/>
      <c r="H33" s="7"/>
      <c r="I33" s="7"/>
      <c r="J33" s="7"/>
      <c r="K33" s="7"/>
      <c r="L33" s="7" t="s">
        <v>155</v>
      </c>
      <c r="M33" s="7"/>
      <c r="N33" s="7"/>
      <c r="O33" s="7" t="s">
        <v>156</v>
      </c>
      <c r="P33" s="7" t="s">
        <v>157</v>
      </c>
      <c r="Q33" s="7" t="s">
        <v>158</v>
      </c>
      <c r="R33" s="7" t="s">
        <v>159</v>
      </c>
      <c r="S33" s="7" t="s">
        <v>160</v>
      </c>
      <c r="T33" s="7" t="s">
        <v>161</v>
      </c>
      <c r="U33" s="7"/>
      <c r="V33" s="7" t="s">
        <v>162</v>
      </c>
      <c r="W33" s="7" t="s">
        <v>163</v>
      </c>
      <c r="X33" s="7" t="s">
        <v>164</v>
      </c>
      <c r="Y33" s="7" t="s">
        <v>187</v>
      </c>
      <c r="Z33" s="7" t="s">
        <v>188</v>
      </c>
      <c r="AA33" s="7" t="s">
        <v>167</v>
      </c>
      <c r="AB33" s="7" t="s">
        <v>168</v>
      </c>
      <c r="AC33" s="7" t="s">
        <v>189</v>
      </c>
      <c r="AD33" s="7"/>
      <c r="AE33" s="7"/>
      <c r="AF33" s="7"/>
      <c r="AG33" s="7"/>
      <c r="AH33" s="7"/>
      <c r="AI33" s="7" t="s">
        <v>170</v>
      </c>
      <c r="AJ33" s="7" t="s">
        <v>171</v>
      </c>
      <c r="AK33" s="7" t="s">
        <v>172</v>
      </c>
      <c r="AL33" s="7"/>
      <c r="AM33" s="10">
        <v>2025</v>
      </c>
      <c r="AN33" s="10">
        <v>1</v>
      </c>
      <c r="AO33" s="9">
        <v>45658</v>
      </c>
      <c r="AP33" s="9">
        <v>45658</v>
      </c>
      <c r="AQ33" s="9">
        <v>45658</v>
      </c>
      <c r="AR33" s="7" t="s">
        <v>173</v>
      </c>
      <c r="AS33" s="7"/>
      <c r="AT33" s="7" t="s">
        <v>179</v>
      </c>
      <c r="AU33" s="7" t="s">
        <v>180</v>
      </c>
      <c r="AV33" s="7"/>
      <c r="AW33" s="7"/>
      <c r="AX33" s="7"/>
      <c r="AY33" s="7" t="s">
        <v>181</v>
      </c>
      <c r="AZ33" s="7" t="s">
        <v>177</v>
      </c>
      <c r="BA33" s="7" t="s">
        <v>9</v>
      </c>
      <c r="BB33" s="12">
        <v>189810.28</v>
      </c>
      <c r="BC33" s="7" t="s">
        <v>12</v>
      </c>
      <c r="BD33" s="13">
        <v>1.54</v>
      </c>
      <c r="BE33" s="12">
        <v>292307.83</v>
      </c>
      <c r="BF33" s="7" t="s">
        <v>178</v>
      </c>
      <c r="BG33" s="13">
        <v>2.85</v>
      </c>
      <c r="BH33" s="12">
        <v>833077.32</v>
      </c>
      <c r="BI33" s="7"/>
      <c r="BJ33" s="13"/>
      <c r="BK33" s="12"/>
    </row>
    <row r="34" spans="1:63" x14ac:dyDescent="0.35">
      <c r="A34" s="7" t="s">
        <v>151</v>
      </c>
      <c r="B34" s="7" t="s">
        <v>152</v>
      </c>
      <c r="C34" s="7" t="s">
        <v>153</v>
      </c>
      <c r="D34" s="7"/>
      <c r="E34" s="7"/>
      <c r="F34" s="7" t="s">
        <v>154</v>
      </c>
      <c r="G34" s="7"/>
      <c r="H34" s="7"/>
      <c r="I34" s="7"/>
      <c r="J34" s="7"/>
      <c r="K34" s="7"/>
      <c r="L34" s="7" t="s">
        <v>155</v>
      </c>
      <c r="M34" s="7"/>
      <c r="N34" s="7"/>
      <c r="O34" s="7" t="s">
        <v>182</v>
      </c>
      <c r="P34" s="7" t="s">
        <v>183</v>
      </c>
      <c r="Q34" s="7" t="s">
        <v>158</v>
      </c>
      <c r="R34" s="7" t="s">
        <v>159</v>
      </c>
      <c r="S34" s="7" t="s">
        <v>160</v>
      </c>
      <c r="T34" s="7" t="s">
        <v>161</v>
      </c>
      <c r="U34" s="7"/>
      <c r="V34" s="7" t="s">
        <v>162</v>
      </c>
      <c r="W34" s="7" t="s">
        <v>163</v>
      </c>
      <c r="X34" s="7" t="s">
        <v>164</v>
      </c>
      <c r="Y34" s="7" t="s">
        <v>187</v>
      </c>
      <c r="Z34" s="7" t="s">
        <v>188</v>
      </c>
      <c r="AA34" s="7" t="s">
        <v>167</v>
      </c>
      <c r="AB34" s="7" t="s">
        <v>168</v>
      </c>
      <c r="AC34" s="7" t="s">
        <v>190</v>
      </c>
      <c r="AD34" s="7"/>
      <c r="AE34" s="7"/>
      <c r="AF34" s="7"/>
      <c r="AG34" s="7"/>
      <c r="AH34" s="7"/>
      <c r="AI34" s="7" t="s">
        <v>170</v>
      </c>
      <c r="AJ34" s="7" t="s">
        <v>171</v>
      </c>
      <c r="AK34" s="7" t="s">
        <v>172</v>
      </c>
      <c r="AL34" s="7"/>
      <c r="AM34" s="10">
        <v>2025</v>
      </c>
      <c r="AN34" s="10">
        <v>1</v>
      </c>
      <c r="AO34" s="9">
        <v>45658</v>
      </c>
      <c r="AP34" s="9">
        <v>45658</v>
      </c>
      <c r="AQ34" s="9">
        <v>45658</v>
      </c>
      <c r="AR34" s="7" t="s">
        <v>173</v>
      </c>
      <c r="AS34" s="7"/>
      <c r="AT34" s="7" t="s">
        <v>185</v>
      </c>
      <c r="AU34" s="7" t="s">
        <v>186</v>
      </c>
      <c r="AV34" s="7"/>
      <c r="AW34" s="7"/>
      <c r="AX34" s="7"/>
      <c r="AY34" s="7" t="s">
        <v>181</v>
      </c>
      <c r="AZ34" s="7" t="s">
        <v>177</v>
      </c>
      <c r="BA34" s="7" t="s">
        <v>9</v>
      </c>
      <c r="BB34" s="12">
        <v>189810.28</v>
      </c>
      <c r="BC34" s="7" t="s">
        <v>12</v>
      </c>
      <c r="BD34" s="13">
        <v>1.54</v>
      </c>
      <c r="BE34" s="12">
        <v>292307.83</v>
      </c>
      <c r="BF34" s="7" t="s">
        <v>178</v>
      </c>
      <c r="BG34" s="13">
        <v>2.85</v>
      </c>
      <c r="BH34" s="12">
        <v>833077.32</v>
      </c>
      <c r="BI34" s="7"/>
      <c r="BJ34" s="13"/>
      <c r="BK34" s="12"/>
    </row>
    <row r="35" spans="1:63" x14ac:dyDescent="0.35">
      <c r="A35" s="7" t="s">
        <v>151</v>
      </c>
      <c r="B35" s="7" t="s">
        <v>152</v>
      </c>
      <c r="C35" s="7" t="s">
        <v>153</v>
      </c>
      <c r="D35" s="7"/>
      <c r="E35" s="7"/>
      <c r="F35" s="7" t="s">
        <v>154</v>
      </c>
      <c r="G35" s="7"/>
      <c r="H35" s="7"/>
      <c r="I35" s="7"/>
      <c r="J35" s="7"/>
      <c r="K35" s="7"/>
      <c r="L35" s="7" t="s">
        <v>155</v>
      </c>
      <c r="M35" s="7"/>
      <c r="N35" s="7"/>
      <c r="O35" s="7" t="s">
        <v>182</v>
      </c>
      <c r="P35" s="7" t="s">
        <v>183</v>
      </c>
      <c r="Q35" s="7" t="s">
        <v>158</v>
      </c>
      <c r="R35" s="7" t="s">
        <v>159</v>
      </c>
      <c r="S35" s="7" t="s">
        <v>160</v>
      </c>
      <c r="T35" s="7" t="s">
        <v>161</v>
      </c>
      <c r="U35" s="7"/>
      <c r="V35" s="7" t="s">
        <v>162</v>
      </c>
      <c r="W35" s="7" t="s">
        <v>163</v>
      </c>
      <c r="X35" s="7" t="s">
        <v>164</v>
      </c>
      <c r="Y35" s="7" t="s">
        <v>187</v>
      </c>
      <c r="Z35" s="7" t="s">
        <v>188</v>
      </c>
      <c r="AA35" s="7" t="s">
        <v>167</v>
      </c>
      <c r="AB35" s="7" t="s">
        <v>168</v>
      </c>
      <c r="AC35" s="7" t="s">
        <v>190</v>
      </c>
      <c r="AD35" s="7"/>
      <c r="AE35" s="7"/>
      <c r="AF35" s="7"/>
      <c r="AG35" s="7"/>
      <c r="AH35" s="7"/>
      <c r="AI35" s="7" t="s">
        <v>170</v>
      </c>
      <c r="AJ35" s="7" t="s">
        <v>171</v>
      </c>
      <c r="AK35" s="7" t="s">
        <v>172</v>
      </c>
      <c r="AL35" s="7"/>
      <c r="AM35" s="10">
        <v>2025</v>
      </c>
      <c r="AN35" s="10">
        <v>1</v>
      </c>
      <c r="AO35" s="9">
        <v>45658</v>
      </c>
      <c r="AP35" s="9">
        <v>45658</v>
      </c>
      <c r="AQ35" s="9">
        <v>45658</v>
      </c>
      <c r="AR35" s="7" t="s">
        <v>173</v>
      </c>
      <c r="AS35" s="7"/>
      <c r="AT35" s="7" t="s">
        <v>179</v>
      </c>
      <c r="AU35" s="7" t="s">
        <v>180</v>
      </c>
      <c r="AV35" s="7"/>
      <c r="AW35" s="7"/>
      <c r="AX35" s="7"/>
      <c r="AY35" s="7" t="s">
        <v>176</v>
      </c>
      <c r="AZ35" s="7" t="s">
        <v>177</v>
      </c>
      <c r="BA35" s="7" t="s">
        <v>9</v>
      </c>
      <c r="BB35" s="12">
        <v>-189810.28</v>
      </c>
      <c r="BC35" s="7" t="s">
        <v>12</v>
      </c>
      <c r="BD35" s="13">
        <v>1.54</v>
      </c>
      <c r="BE35" s="12">
        <v>-292307.83</v>
      </c>
      <c r="BF35" s="7" t="s">
        <v>178</v>
      </c>
      <c r="BG35" s="13">
        <v>2.85</v>
      </c>
      <c r="BH35" s="12">
        <v>-833077.32</v>
      </c>
      <c r="BI35" s="7"/>
      <c r="BJ35" s="13"/>
      <c r="BK35" s="12"/>
    </row>
    <row r="36" spans="1:63" x14ac:dyDescent="0.35">
      <c r="A36" s="7" t="s">
        <v>151</v>
      </c>
      <c r="B36" s="7" t="s">
        <v>152</v>
      </c>
      <c r="C36" s="7" t="s">
        <v>153</v>
      </c>
      <c r="D36" s="7"/>
      <c r="E36" s="7"/>
      <c r="F36" s="7" t="s">
        <v>154</v>
      </c>
      <c r="G36" s="7"/>
      <c r="H36" s="7"/>
      <c r="I36" s="7"/>
      <c r="J36" s="7"/>
      <c r="K36" s="7"/>
      <c r="L36" s="7" t="s">
        <v>155</v>
      </c>
      <c r="M36" s="7"/>
      <c r="N36" s="7"/>
      <c r="O36" s="7" t="s">
        <v>191</v>
      </c>
      <c r="P36" s="7" t="s">
        <v>192</v>
      </c>
      <c r="Q36" s="7" t="s">
        <v>158</v>
      </c>
      <c r="R36" s="7" t="s">
        <v>159</v>
      </c>
      <c r="S36" s="7" t="s">
        <v>160</v>
      </c>
      <c r="T36" s="7" t="s">
        <v>161</v>
      </c>
      <c r="U36" s="7"/>
      <c r="V36" s="7" t="s">
        <v>162</v>
      </c>
      <c r="W36" s="7" t="s">
        <v>163</v>
      </c>
      <c r="X36" s="7" t="s">
        <v>164</v>
      </c>
      <c r="Y36" s="7" t="s">
        <v>165</v>
      </c>
      <c r="Z36" s="7" t="s">
        <v>166</v>
      </c>
      <c r="AA36" s="7" t="s">
        <v>167</v>
      </c>
      <c r="AB36" s="7" t="s">
        <v>168</v>
      </c>
      <c r="AC36" s="7" t="s">
        <v>193</v>
      </c>
      <c r="AD36" s="7"/>
      <c r="AE36" s="7"/>
      <c r="AF36" s="7"/>
      <c r="AG36" s="7"/>
      <c r="AH36" s="7"/>
      <c r="AI36" s="7" t="s">
        <v>170</v>
      </c>
      <c r="AJ36" s="7" t="s">
        <v>171</v>
      </c>
      <c r="AK36" s="7" t="s">
        <v>172</v>
      </c>
      <c r="AL36" s="7"/>
      <c r="AM36" s="10">
        <v>2025</v>
      </c>
      <c r="AN36" s="10">
        <v>1</v>
      </c>
      <c r="AO36" s="9">
        <v>45658</v>
      </c>
      <c r="AP36" s="9">
        <v>45658</v>
      </c>
      <c r="AQ36" s="9">
        <v>45658</v>
      </c>
      <c r="AR36" s="7" t="s">
        <v>194</v>
      </c>
      <c r="AS36" s="7"/>
      <c r="AT36" s="7" t="s">
        <v>195</v>
      </c>
      <c r="AU36" s="7" t="s">
        <v>196</v>
      </c>
      <c r="AV36" s="7"/>
      <c r="AW36" s="7"/>
      <c r="AX36" s="7"/>
      <c r="AY36" s="7" t="s">
        <v>176</v>
      </c>
      <c r="AZ36" s="7" t="s">
        <v>191</v>
      </c>
      <c r="BA36" s="7" t="s">
        <v>9</v>
      </c>
      <c r="BB36" s="12">
        <v>-8000</v>
      </c>
      <c r="BC36" s="7" t="s">
        <v>12</v>
      </c>
      <c r="BD36" s="13">
        <v>1.54</v>
      </c>
      <c r="BE36" s="12">
        <v>-12320</v>
      </c>
      <c r="BF36" s="7" t="s">
        <v>178</v>
      </c>
      <c r="BG36" s="13">
        <v>2.85</v>
      </c>
      <c r="BH36" s="12">
        <v>-35112</v>
      </c>
      <c r="BI36" s="7"/>
      <c r="BJ36" s="13"/>
      <c r="BK36" s="12"/>
    </row>
    <row r="37" spans="1:63" x14ac:dyDescent="0.35">
      <c r="A37" s="7" t="s">
        <v>151</v>
      </c>
      <c r="B37" s="7" t="s">
        <v>152</v>
      </c>
      <c r="C37" s="7" t="s">
        <v>153</v>
      </c>
      <c r="D37" s="7"/>
      <c r="E37" s="7"/>
      <c r="F37" s="7" t="s">
        <v>154</v>
      </c>
      <c r="G37" s="7"/>
      <c r="H37" s="7"/>
      <c r="I37" s="7"/>
      <c r="J37" s="7"/>
      <c r="K37" s="7"/>
      <c r="L37" s="7" t="s">
        <v>155</v>
      </c>
      <c r="M37" s="7"/>
      <c r="N37" s="7"/>
      <c r="O37" s="7" t="s">
        <v>191</v>
      </c>
      <c r="P37" s="7" t="s">
        <v>192</v>
      </c>
      <c r="Q37" s="7" t="s">
        <v>158</v>
      </c>
      <c r="R37" s="7" t="s">
        <v>159</v>
      </c>
      <c r="S37" s="7" t="s">
        <v>160</v>
      </c>
      <c r="T37" s="7" t="s">
        <v>161</v>
      </c>
      <c r="U37" s="7"/>
      <c r="V37" s="7" t="s">
        <v>162</v>
      </c>
      <c r="W37" s="7" t="s">
        <v>163</v>
      </c>
      <c r="X37" s="7" t="s">
        <v>164</v>
      </c>
      <c r="Y37" s="7" t="s">
        <v>165</v>
      </c>
      <c r="Z37" s="7" t="s">
        <v>166</v>
      </c>
      <c r="AA37" s="7" t="s">
        <v>167</v>
      </c>
      <c r="AB37" s="7" t="s">
        <v>168</v>
      </c>
      <c r="AC37" s="7" t="s">
        <v>193</v>
      </c>
      <c r="AD37" s="7"/>
      <c r="AE37" s="7"/>
      <c r="AF37" s="7"/>
      <c r="AG37" s="7"/>
      <c r="AH37" s="7"/>
      <c r="AI37" s="7" t="s">
        <v>170</v>
      </c>
      <c r="AJ37" s="7" t="s">
        <v>171</v>
      </c>
      <c r="AK37" s="7" t="s">
        <v>172</v>
      </c>
      <c r="AL37" s="7"/>
      <c r="AM37" s="10">
        <v>2025</v>
      </c>
      <c r="AN37" s="10">
        <v>1</v>
      </c>
      <c r="AO37" s="9">
        <v>45658</v>
      </c>
      <c r="AP37" s="9">
        <v>45658</v>
      </c>
      <c r="AQ37" s="9">
        <v>45658</v>
      </c>
      <c r="AR37" s="7" t="s">
        <v>194</v>
      </c>
      <c r="AS37" s="7"/>
      <c r="AT37" s="7" t="s">
        <v>195</v>
      </c>
      <c r="AU37" s="7" t="s">
        <v>196</v>
      </c>
      <c r="AV37" s="7"/>
      <c r="AW37" s="7"/>
      <c r="AX37" s="7"/>
      <c r="AY37" s="7" t="s">
        <v>176</v>
      </c>
      <c r="AZ37" s="7" t="s">
        <v>191</v>
      </c>
      <c r="BA37" s="7" t="s">
        <v>9</v>
      </c>
      <c r="BB37" s="12">
        <v>-900</v>
      </c>
      <c r="BC37" s="7" t="s">
        <v>12</v>
      </c>
      <c r="BD37" s="13">
        <v>1.54</v>
      </c>
      <c r="BE37" s="12">
        <v>-1386</v>
      </c>
      <c r="BF37" s="7" t="s">
        <v>178</v>
      </c>
      <c r="BG37" s="13">
        <v>2.85</v>
      </c>
      <c r="BH37" s="12">
        <v>-3950.1</v>
      </c>
      <c r="BI37" s="7"/>
      <c r="BJ37" s="13"/>
      <c r="BK37" s="12"/>
    </row>
    <row r="38" spans="1:63" x14ac:dyDescent="0.35">
      <c r="A38" s="7" t="s">
        <v>151</v>
      </c>
      <c r="B38" s="7" t="s">
        <v>152</v>
      </c>
      <c r="C38" s="7" t="s">
        <v>153</v>
      </c>
      <c r="D38" s="7"/>
      <c r="E38" s="7" t="s">
        <v>162</v>
      </c>
      <c r="F38" s="7" t="s">
        <v>154</v>
      </c>
      <c r="G38" s="7"/>
      <c r="H38" s="7"/>
      <c r="I38" s="7"/>
      <c r="J38" s="7"/>
      <c r="K38" s="7"/>
      <c r="L38" s="7" t="s">
        <v>155</v>
      </c>
      <c r="M38" s="7"/>
      <c r="N38" s="7"/>
      <c r="O38" s="7" t="s">
        <v>191</v>
      </c>
      <c r="P38" s="7" t="s">
        <v>192</v>
      </c>
      <c r="Q38" s="7" t="s">
        <v>158</v>
      </c>
      <c r="R38" s="7" t="s">
        <v>159</v>
      </c>
      <c r="S38" s="7" t="s">
        <v>160</v>
      </c>
      <c r="T38" s="7" t="s">
        <v>161</v>
      </c>
      <c r="U38" s="7"/>
      <c r="V38" s="7" t="s">
        <v>162</v>
      </c>
      <c r="W38" s="7" t="s">
        <v>163</v>
      </c>
      <c r="X38" s="7" t="s">
        <v>164</v>
      </c>
      <c r="Y38" s="7" t="s">
        <v>165</v>
      </c>
      <c r="Z38" s="7" t="s">
        <v>166</v>
      </c>
      <c r="AA38" s="7" t="s">
        <v>167</v>
      </c>
      <c r="AB38" s="7" t="s">
        <v>168</v>
      </c>
      <c r="AC38" s="7" t="s">
        <v>193</v>
      </c>
      <c r="AD38" s="7"/>
      <c r="AE38" s="7"/>
      <c r="AF38" s="7"/>
      <c r="AG38" s="7"/>
      <c r="AH38" s="7"/>
      <c r="AI38" s="7" t="s">
        <v>170</v>
      </c>
      <c r="AJ38" s="7" t="s">
        <v>171</v>
      </c>
      <c r="AK38" s="7" t="s">
        <v>172</v>
      </c>
      <c r="AL38" s="7"/>
      <c r="AM38" s="10">
        <v>2025</v>
      </c>
      <c r="AN38" s="10">
        <v>1</v>
      </c>
      <c r="AO38" s="9">
        <v>45658</v>
      </c>
      <c r="AP38" s="9">
        <v>45658</v>
      </c>
      <c r="AQ38" s="9">
        <v>45658</v>
      </c>
      <c r="AR38" s="7" t="s">
        <v>194</v>
      </c>
      <c r="AS38" s="7"/>
      <c r="AT38" s="7" t="s">
        <v>197</v>
      </c>
      <c r="AU38" s="7" t="s">
        <v>198</v>
      </c>
      <c r="AV38" s="7"/>
      <c r="AW38" s="7"/>
      <c r="AX38" s="7"/>
      <c r="AY38" s="7" t="s">
        <v>181</v>
      </c>
      <c r="AZ38" s="7" t="s">
        <v>191</v>
      </c>
      <c r="BA38" s="7" t="s">
        <v>9</v>
      </c>
      <c r="BB38" s="12">
        <v>8000</v>
      </c>
      <c r="BC38" s="7" t="s">
        <v>12</v>
      </c>
      <c r="BD38" s="13">
        <v>1.54</v>
      </c>
      <c r="BE38" s="12">
        <v>12320</v>
      </c>
      <c r="BF38" s="7" t="s">
        <v>178</v>
      </c>
      <c r="BG38" s="13">
        <v>2.85</v>
      </c>
      <c r="BH38" s="12">
        <v>35112</v>
      </c>
      <c r="BI38" s="7"/>
      <c r="BJ38" s="13"/>
      <c r="BK38" s="12"/>
    </row>
    <row r="39" spans="1:63" x14ac:dyDescent="0.35">
      <c r="A39" s="7" t="s">
        <v>151</v>
      </c>
      <c r="B39" s="7" t="s">
        <v>152</v>
      </c>
      <c r="C39" s="7" t="s">
        <v>153</v>
      </c>
      <c r="D39" s="7"/>
      <c r="E39" s="7"/>
      <c r="F39" s="7" t="s">
        <v>154</v>
      </c>
      <c r="G39" s="7"/>
      <c r="H39" s="7"/>
      <c r="I39" s="7"/>
      <c r="J39" s="7"/>
      <c r="K39" s="7"/>
      <c r="L39" s="7" t="s">
        <v>155</v>
      </c>
      <c r="M39" s="7"/>
      <c r="N39" s="7"/>
      <c r="O39" s="7" t="s">
        <v>191</v>
      </c>
      <c r="P39" s="7" t="s">
        <v>192</v>
      </c>
      <c r="Q39" s="7" t="s">
        <v>158</v>
      </c>
      <c r="R39" s="7" t="s">
        <v>159</v>
      </c>
      <c r="S39" s="7" t="s">
        <v>160</v>
      </c>
      <c r="T39" s="7" t="s">
        <v>161</v>
      </c>
      <c r="U39" s="7"/>
      <c r="V39" s="7" t="s">
        <v>162</v>
      </c>
      <c r="W39" s="7" t="s">
        <v>163</v>
      </c>
      <c r="X39" s="7" t="s">
        <v>164</v>
      </c>
      <c r="Y39" s="7" t="s">
        <v>165</v>
      </c>
      <c r="Z39" s="7" t="s">
        <v>166</v>
      </c>
      <c r="AA39" s="7" t="s">
        <v>167</v>
      </c>
      <c r="AB39" s="7" t="s">
        <v>168</v>
      </c>
      <c r="AC39" s="7" t="s">
        <v>193</v>
      </c>
      <c r="AD39" s="7"/>
      <c r="AE39" s="7"/>
      <c r="AF39" s="7"/>
      <c r="AG39" s="7"/>
      <c r="AH39" s="7"/>
      <c r="AI39" s="7" t="s">
        <v>170</v>
      </c>
      <c r="AJ39" s="7" t="s">
        <v>171</v>
      </c>
      <c r="AK39" s="7" t="s">
        <v>172</v>
      </c>
      <c r="AL39" s="7"/>
      <c r="AM39" s="10">
        <v>2025</v>
      </c>
      <c r="AN39" s="10">
        <v>1</v>
      </c>
      <c r="AO39" s="9">
        <v>45658</v>
      </c>
      <c r="AP39" s="9">
        <v>45658</v>
      </c>
      <c r="AQ39" s="9">
        <v>45658</v>
      </c>
      <c r="AR39" s="7" t="s">
        <v>194</v>
      </c>
      <c r="AS39" s="7"/>
      <c r="AT39" s="7" t="s">
        <v>199</v>
      </c>
      <c r="AU39" s="7" t="s">
        <v>200</v>
      </c>
      <c r="AV39" s="7"/>
      <c r="AW39" s="7"/>
      <c r="AX39" s="7"/>
      <c r="AY39" s="7" t="s">
        <v>181</v>
      </c>
      <c r="AZ39" s="7" t="s">
        <v>191</v>
      </c>
      <c r="BA39" s="7" t="s">
        <v>9</v>
      </c>
      <c r="BB39" s="12">
        <v>900</v>
      </c>
      <c r="BC39" s="7" t="s">
        <v>12</v>
      </c>
      <c r="BD39" s="13">
        <v>1.54</v>
      </c>
      <c r="BE39" s="12">
        <v>1386</v>
      </c>
      <c r="BF39" s="7" t="s">
        <v>178</v>
      </c>
      <c r="BG39" s="13">
        <v>2.85</v>
      </c>
      <c r="BH39" s="12">
        <v>3950.1</v>
      </c>
      <c r="BI39" s="7"/>
      <c r="BJ39" s="13"/>
      <c r="BK39" s="12"/>
    </row>
    <row r="40" spans="1:63" x14ac:dyDescent="0.35">
      <c r="A40" s="7" t="s">
        <v>151</v>
      </c>
      <c r="B40" s="7" t="s">
        <v>152</v>
      </c>
      <c r="C40" s="7" t="s">
        <v>153</v>
      </c>
      <c r="D40" s="7"/>
      <c r="E40" s="7"/>
      <c r="F40" s="7" t="s">
        <v>154</v>
      </c>
      <c r="G40" s="7"/>
      <c r="H40" s="7"/>
      <c r="I40" s="7"/>
      <c r="J40" s="7"/>
      <c r="K40" s="7"/>
      <c r="L40" s="7" t="s">
        <v>155</v>
      </c>
      <c r="M40" s="7"/>
      <c r="N40" s="7"/>
      <c r="O40" s="7" t="s">
        <v>191</v>
      </c>
      <c r="P40" s="7" t="s">
        <v>192</v>
      </c>
      <c r="Q40" s="7" t="s">
        <v>158</v>
      </c>
      <c r="R40" s="7" t="s">
        <v>159</v>
      </c>
      <c r="S40" s="7" t="s">
        <v>160</v>
      </c>
      <c r="T40" s="7" t="s">
        <v>161</v>
      </c>
      <c r="U40" s="7"/>
      <c r="V40" s="7" t="s">
        <v>162</v>
      </c>
      <c r="W40" s="7" t="s">
        <v>163</v>
      </c>
      <c r="X40" s="7" t="s">
        <v>164</v>
      </c>
      <c r="Y40" s="7" t="s">
        <v>187</v>
      </c>
      <c r="Z40" s="7" t="s">
        <v>188</v>
      </c>
      <c r="AA40" s="7" t="s">
        <v>167</v>
      </c>
      <c r="AB40" s="7" t="s">
        <v>168</v>
      </c>
      <c r="AC40" s="7" t="s">
        <v>201</v>
      </c>
      <c r="AD40" s="7"/>
      <c r="AE40" s="7"/>
      <c r="AF40" s="7"/>
      <c r="AG40" s="7"/>
      <c r="AH40" s="7"/>
      <c r="AI40" s="7" t="s">
        <v>170</v>
      </c>
      <c r="AJ40" s="7" t="s">
        <v>171</v>
      </c>
      <c r="AK40" s="7" t="s">
        <v>172</v>
      </c>
      <c r="AL40" s="7"/>
      <c r="AM40" s="10">
        <v>2025</v>
      </c>
      <c r="AN40" s="10">
        <v>1</v>
      </c>
      <c r="AO40" s="9">
        <v>45658</v>
      </c>
      <c r="AP40" s="9">
        <v>45658</v>
      </c>
      <c r="AQ40" s="9">
        <v>45658</v>
      </c>
      <c r="AR40" s="7" t="s">
        <v>194</v>
      </c>
      <c r="AS40" s="7"/>
      <c r="AT40" s="7" t="s">
        <v>195</v>
      </c>
      <c r="AU40" s="7" t="s">
        <v>196</v>
      </c>
      <c r="AV40" s="7"/>
      <c r="AW40" s="7"/>
      <c r="AX40" s="7"/>
      <c r="AY40" s="7" t="s">
        <v>176</v>
      </c>
      <c r="AZ40" s="7" t="s">
        <v>191</v>
      </c>
      <c r="BA40" s="7" t="s">
        <v>9</v>
      </c>
      <c r="BB40" s="12">
        <v>-8000</v>
      </c>
      <c r="BC40" s="7" t="s">
        <v>12</v>
      </c>
      <c r="BD40" s="13">
        <v>1.54</v>
      </c>
      <c r="BE40" s="12">
        <v>-12320</v>
      </c>
      <c r="BF40" s="7" t="s">
        <v>178</v>
      </c>
      <c r="BG40" s="13">
        <v>2.85</v>
      </c>
      <c r="BH40" s="12">
        <v>-35112</v>
      </c>
      <c r="BI40" s="7"/>
      <c r="BJ40" s="13"/>
      <c r="BK40" s="12"/>
    </row>
    <row r="41" spans="1:63" x14ac:dyDescent="0.35">
      <c r="A41" s="7" t="s">
        <v>151</v>
      </c>
      <c r="B41" s="7" t="s">
        <v>152</v>
      </c>
      <c r="C41" s="7" t="s">
        <v>153</v>
      </c>
      <c r="D41" s="7"/>
      <c r="E41" s="7"/>
      <c r="F41" s="7" t="s">
        <v>154</v>
      </c>
      <c r="G41" s="7"/>
      <c r="H41" s="7"/>
      <c r="I41" s="7"/>
      <c r="J41" s="7"/>
      <c r="K41" s="7"/>
      <c r="L41" s="7" t="s">
        <v>155</v>
      </c>
      <c r="M41" s="7"/>
      <c r="N41" s="7"/>
      <c r="O41" s="7" t="s">
        <v>191</v>
      </c>
      <c r="P41" s="7" t="s">
        <v>192</v>
      </c>
      <c r="Q41" s="7" t="s">
        <v>158</v>
      </c>
      <c r="R41" s="7" t="s">
        <v>159</v>
      </c>
      <c r="S41" s="7" t="s">
        <v>160</v>
      </c>
      <c r="T41" s="7" t="s">
        <v>161</v>
      </c>
      <c r="U41" s="7"/>
      <c r="V41" s="7" t="s">
        <v>162</v>
      </c>
      <c r="W41" s="7" t="s">
        <v>163</v>
      </c>
      <c r="X41" s="7" t="s">
        <v>164</v>
      </c>
      <c r="Y41" s="7" t="s">
        <v>187</v>
      </c>
      <c r="Z41" s="7" t="s">
        <v>188</v>
      </c>
      <c r="AA41" s="7" t="s">
        <v>167</v>
      </c>
      <c r="AB41" s="7" t="s">
        <v>168</v>
      </c>
      <c r="AC41" s="7" t="s">
        <v>201</v>
      </c>
      <c r="AD41" s="7"/>
      <c r="AE41" s="7"/>
      <c r="AF41" s="7"/>
      <c r="AG41" s="7"/>
      <c r="AH41" s="7"/>
      <c r="AI41" s="7" t="s">
        <v>170</v>
      </c>
      <c r="AJ41" s="7" t="s">
        <v>171</v>
      </c>
      <c r="AK41" s="7" t="s">
        <v>172</v>
      </c>
      <c r="AL41" s="7"/>
      <c r="AM41" s="10">
        <v>2025</v>
      </c>
      <c r="AN41" s="10">
        <v>1</v>
      </c>
      <c r="AO41" s="9">
        <v>45658</v>
      </c>
      <c r="AP41" s="9">
        <v>45658</v>
      </c>
      <c r="AQ41" s="9">
        <v>45658</v>
      </c>
      <c r="AR41" s="7" t="s">
        <v>194</v>
      </c>
      <c r="AS41" s="7"/>
      <c r="AT41" s="7" t="s">
        <v>195</v>
      </c>
      <c r="AU41" s="7" t="s">
        <v>196</v>
      </c>
      <c r="AV41" s="7"/>
      <c r="AW41" s="7"/>
      <c r="AX41" s="7"/>
      <c r="AY41" s="7" t="s">
        <v>176</v>
      </c>
      <c r="AZ41" s="7" t="s">
        <v>191</v>
      </c>
      <c r="BA41" s="7" t="s">
        <v>9</v>
      </c>
      <c r="BB41" s="12">
        <v>-900</v>
      </c>
      <c r="BC41" s="7" t="s">
        <v>12</v>
      </c>
      <c r="BD41" s="13">
        <v>1.54</v>
      </c>
      <c r="BE41" s="12">
        <v>-1386</v>
      </c>
      <c r="BF41" s="7" t="s">
        <v>178</v>
      </c>
      <c r="BG41" s="13">
        <v>2.85</v>
      </c>
      <c r="BH41" s="12">
        <v>-3950.1</v>
      </c>
      <c r="BI41" s="7"/>
      <c r="BJ41" s="13"/>
      <c r="BK41" s="12"/>
    </row>
    <row r="42" spans="1:63" x14ac:dyDescent="0.35">
      <c r="A42" s="7" t="s">
        <v>151</v>
      </c>
      <c r="B42" s="7" t="s">
        <v>152</v>
      </c>
      <c r="C42" s="7" t="s">
        <v>153</v>
      </c>
      <c r="D42" s="7"/>
      <c r="E42" s="7" t="s">
        <v>162</v>
      </c>
      <c r="F42" s="7" t="s">
        <v>154</v>
      </c>
      <c r="G42" s="7"/>
      <c r="H42" s="7"/>
      <c r="I42" s="7"/>
      <c r="J42" s="7"/>
      <c r="K42" s="7"/>
      <c r="L42" s="7" t="s">
        <v>155</v>
      </c>
      <c r="M42" s="7"/>
      <c r="N42" s="7"/>
      <c r="O42" s="7" t="s">
        <v>191</v>
      </c>
      <c r="P42" s="7" t="s">
        <v>192</v>
      </c>
      <c r="Q42" s="7" t="s">
        <v>158</v>
      </c>
      <c r="R42" s="7" t="s">
        <v>159</v>
      </c>
      <c r="S42" s="7" t="s">
        <v>160</v>
      </c>
      <c r="T42" s="7" t="s">
        <v>161</v>
      </c>
      <c r="U42" s="7"/>
      <c r="V42" s="7" t="s">
        <v>162</v>
      </c>
      <c r="W42" s="7" t="s">
        <v>163</v>
      </c>
      <c r="X42" s="7" t="s">
        <v>164</v>
      </c>
      <c r="Y42" s="7" t="s">
        <v>187</v>
      </c>
      <c r="Z42" s="7" t="s">
        <v>188</v>
      </c>
      <c r="AA42" s="7" t="s">
        <v>167</v>
      </c>
      <c r="AB42" s="7" t="s">
        <v>168</v>
      </c>
      <c r="AC42" s="7" t="s">
        <v>201</v>
      </c>
      <c r="AD42" s="7"/>
      <c r="AE42" s="7"/>
      <c r="AF42" s="7"/>
      <c r="AG42" s="7"/>
      <c r="AH42" s="7"/>
      <c r="AI42" s="7" t="s">
        <v>170</v>
      </c>
      <c r="AJ42" s="7" t="s">
        <v>171</v>
      </c>
      <c r="AK42" s="7" t="s">
        <v>172</v>
      </c>
      <c r="AL42" s="7"/>
      <c r="AM42" s="10">
        <v>2025</v>
      </c>
      <c r="AN42" s="10">
        <v>1</v>
      </c>
      <c r="AO42" s="9">
        <v>45658</v>
      </c>
      <c r="AP42" s="9">
        <v>45658</v>
      </c>
      <c r="AQ42" s="9">
        <v>45658</v>
      </c>
      <c r="AR42" s="7" t="s">
        <v>194</v>
      </c>
      <c r="AS42" s="7"/>
      <c r="AT42" s="7" t="s">
        <v>197</v>
      </c>
      <c r="AU42" s="7" t="s">
        <v>198</v>
      </c>
      <c r="AV42" s="7"/>
      <c r="AW42" s="7"/>
      <c r="AX42" s="7"/>
      <c r="AY42" s="7" t="s">
        <v>181</v>
      </c>
      <c r="AZ42" s="7" t="s">
        <v>191</v>
      </c>
      <c r="BA42" s="7" t="s">
        <v>9</v>
      </c>
      <c r="BB42" s="12">
        <v>8000</v>
      </c>
      <c r="BC42" s="7" t="s">
        <v>12</v>
      </c>
      <c r="BD42" s="13">
        <v>1.54</v>
      </c>
      <c r="BE42" s="12">
        <v>12320</v>
      </c>
      <c r="BF42" s="7" t="s">
        <v>178</v>
      </c>
      <c r="BG42" s="13">
        <v>2.85</v>
      </c>
      <c r="BH42" s="12">
        <v>35112</v>
      </c>
      <c r="BI42" s="7"/>
      <c r="BJ42" s="13"/>
      <c r="BK42" s="12"/>
    </row>
    <row r="43" spans="1:63" x14ac:dyDescent="0.35">
      <c r="A43" s="7" t="s">
        <v>151</v>
      </c>
      <c r="B43" s="7" t="s">
        <v>152</v>
      </c>
      <c r="C43" s="7" t="s">
        <v>153</v>
      </c>
      <c r="D43" s="7"/>
      <c r="E43" s="7"/>
      <c r="F43" s="7" t="s">
        <v>154</v>
      </c>
      <c r="G43" s="7"/>
      <c r="H43" s="7"/>
      <c r="I43" s="7"/>
      <c r="J43" s="7"/>
      <c r="K43" s="7"/>
      <c r="L43" s="7" t="s">
        <v>155</v>
      </c>
      <c r="M43" s="7"/>
      <c r="N43" s="7"/>
      <c r="O43" s="7" t="s">
        <v>191</v>
      </c>
      <c r="P43" s="7" t="s">
        <v>192</v>
      </c>
      <c r="Q43" s="7" t="s">
        <v>158</v>
      </c>
      <c r="R43" s="7" t="s">
        <v>159</v>
      </c>
      <c r="S43" s="7" t="s">
        <v>160</v>
      </c>
      <c r="T43" s="7" t="s">
        <v>161</v>
      </c>
      <c r="U43" s="7"/>
      <c r="V43" s="7" t="s">
        <v>162</v>
      </c>
      <c r="W43" s="7" t="s">
        <v>163</v>
      </c>
      <c r="X43" s="7" t="s">
        <v>164</v>
      </c>
      <c r="Y43" s="7" t="s">
        <v>187</v>
      </c>
      <c r="Z43" s="7" t="s">
        <v>188</v>
      </c>
      <c r="AA43" s="7" t="s">
        <v>167</v>
      </c>
      <c r="AB43" s="7" t="s">
        <v>168</v>
      </c>
      <c r="AC43" s="7" t="s">
        <v>201</v>
      </c>
      <c r="AD43" s="7"/>
      <c r="AE43" s="7"/>
      <c r="AF43" s="7"/>
      <c r="AG43" s="7"/>
      <c r="AH43" s="7"/>
      <c r="AI43" s="7" t="s">
        <v>170</v>
      </c>
      <c r="AJ43" s="7" t="s">
        <v>171</v>
      </c>
      <c r="AK43" s="7" t="s">
        <v>172</v>
      </c>
      <c r="AL43" s="7"/>
      <c r="AM43" s="10">
        <v>2025</v>
      </c>
      <c r="AN43" s="10">
        <v>1</v>
      </c>
      <c r="AO43" s="9">
        <v>45658</v>
      </c>
      <c r="AP43" s="9">
        <v>45658</v>
      </c>
      <c r="AQ43" s="9">
        <v>45658</v>
      </c>
      <c r="AR43" s="7" t="s">
        <v>194</v>
      </c>
      <c r="AS43" s="7"/>
      <c r="AT43" s="7" t="s">
        <v>202</v>
      </c>
      <c r="AU43" s="7" t="s">
        <v>200</v>
      </c>
      <c r="AV43" s="7"/>
      <c r="AW43" s="7"/>
      <c r="AX43" s="7"/>
      <c r="AY43" s="7" t="s">
        <v>181</v>
      </c>
      <c r="AZ43" s="7" t="s">
        <v>191</v>
      </c>
      <c r="BA43" s="7" t="s">
        <v>9</v>
      </c>
      <c r="BB43" s="12">
        <v>900</v>
      </c>
      <c r="BC43" s="7" t="s">
        <v>12</v>
      </c>
      <c r="BD43" s="13">
        <v>1.54</v>
      </c>
      <c r="BE43" s="12">
        <v>1386</v>
      </c>
      <c r="BF43" s="7" t="s">
        <v>178</v>
      </c>
      <c r="BG43" s="13">
        <v>2.85</v>
      </c>
      <c r="BH43" s="12">
        <v>3950.1</v>
      </c>
      <c r="BI43" s="7"/>
      <c r="BJ43" s="13"/>
      <c r="BK43" s="12"/>
    </row>
    <row r="44" spans="1:63" x14ac:dyDescent="0.35">
      <c r="A44" s="7" t="s">
        <v>151</v>
      </c>
      <c r="B44" s="7" t="s">
        <v>152</v>
      </c>
      <c r="C44" s="7" t="s">
        <v>153</v>
      </c>
      <c r="D44" s="7"/>
      <c r="E44" s="7"/>
      <c r="F44" s="7" t="s">
        <v>203</v>
      </c>
      <c r="G44" s="7"/>
      <c r="H44" s="7"/>
      <c r="I44" s="7"/>
      <c r="J44" s="7"/>
      <c r="K44" s="7"/>
      <c r="L44" s="7" t="s">
        <v>155</v>
      </c>
      <c r="M44" s="7"/>
      <c r="N44" s="7"/>
      <c r="O44" s="7" t="s">
        <v>191</v>
      </c>
      <c r="P44" s="7" t="s">
        <v>192</v>
      </c>
      <c r="Q44" s="7" t="s">
        <v>204</v>
      </c>
      <c r="R44" s="7" t="s">
        <v>205</v>
      </c>
      <c r="S44" s="7" t="s">
        <v>206</v>
      </c>
      <c r="T44" s="7" t="s">
        <v>207</v>
      </c>
      <c r="U44" s="7"/>
      <c r="V44" s="7" t="s">
        <v>208</v>
      </c>
      <c r="W44" s="7" t="s">
        <v>163</v>
      </c>
      <c r="X44" s="7" t="s">
        <v>164</v>
      </c>
      <c r="Y44" s="7" t="s">
        <v>187</v>
      </c>
      <c r="Z44" s="7" t="s">
        <v>188</v>
      </c>
      <c r="AA44" s="7" t="s">
        <v>167</v>
      </c>
      <c r="AB44" s="7" t="s">
        <v>209</v>
      </c>
      <c r="AC44" s="7" t="s">
        <v>210</v>
      </c>
      <c r="AD44" s="7"/>
      <c r="AE44" s="7"/>
      <c r="AF44" s="7"/>
      <c r="AG44" s="7"/>
      <c r="AH44" s="7"/>
      <c r="AI44" s="7" t="s">
        <v>170</v>
      </c>
      <c r="AJ44" s="7" t="s">
        <v>171</v>
      </c>
      <c r="AK44" s="7" t="s">
        <v>172</v>
      </c>
      <c r="AL44" s="7"/>
      <c r="AM44" s="10">
        <v>2025</v>
      </c>
      <c r="AN44" s="10">
        <v>1</v>
      </c>
      <c r="AO44" s="9">
        <v>45658</v>
      </c>
      <c r="AP44" s="9">
        <v>45658</v>
      </c>
      <c r="AQ44" s="9">
        <v>45658</v>
      </c>
      <c r="AR44" s="7" t="s">
        <v>194</v>
      </c>
      <c r="AS44" s="7"/>
      <c r="AT44" s="7" t="s">
        <v>195</v>
      </c>
      <c r="AU44" s="7" t="s">
        <v>196</v>
      </c>
      <c r="AV44" s="7"/>
      <c r="AW44" s="7"/>
      <c r="AX44" s="7"/>
      <c r="AY44" s="7" t="s">
        <v>176</v>
      </c>
      <c r="AZ44" s="7" t="s">
        <v>191</v>
      </c>
      <c r="BA44" s="7" t="s">
        <v>178</v>
      </c>
      <c r="BB44" s="12">
        <v>-6500</v>
      </c>
      <c r="BC44" s="7" t="s">
        <v>12</v>
      </c>
      <c r="BD44" s="13">
        <v>1.37</v>
      </c>
      <c r="BE44" s="12">
        <v>-8905</v>
      </c>
      <c r="BF44" s="7" t="s">
        <v>178</v>
      </c>
      <c r="BG44" s="13">
        <v>2.85</v>
      </c>
      <c r="BH44" s="12">
        <v>-25379.25</v>
      </c>
      <c r="BI44" s="7"/>
      <c r="BJ44" s="13"/>
      <c r="BK44" s="12"/>
    </row>
    <row r="45" spans="1:63" x14ac:dyDescent="0.35">
      <c r="A45" s="7" t="s">
        <v>151</v>
      </c>
      <c r="B45" s="7" t="s">
        <v>152</v>
      </c>
      <c r="C45" s="7" t="s">
        <v>153</v>
      </c>
      <c r="D45" s="7"/>
      <c r="E45" s="7"/>
      <c r="F45" s="7" t="s">
        <v>203</v>
      </c>
      <c r="G45" s="7"/>
      <c r="H45" s="7"/>
      <c r="I45" s="7"/>
      <c r="J45" s="7"/>
      <c r="K45" s="7"/>
      <c r="L45" s="7" t="s">
        <v>155</v>
      </c>
      <c r="M45" s="7"/>
      <c r="N45" s="7"/>
      <c r="O45" s="7" t="s">
        <v>191</v>
      </c>
      <c r="P45" s="7" t="s">
        <v>192</v>
      </c>
      <c r="Q45" s="7" t="s">
        <v>204</v>
      </c>
      <c r="R45" s="7" t="s">
        <v>205</v>
      </c>
      <c r="S45" s="7" t="s">
        <v>206</v>
      </c>
      <c r="T45" s="7" t="s">
        <v>207</v>
      </c>
      <c r="U45" s="7"/>
      <c r="V45" s="7" t="s">
        <v>208</v>
      </c>
      <c r="W45" s="7" t="s">
        <v>163</v>
      </c>
      <c r="X45" s="7" t="s">
        <v>164</v>
      </c>
      <c r="Y45" s="7" t="s">
        <v>187</v>
      </c>
      <c r="Z45" s="7" t="s">
        <v>188</v>
      </c>
      <c r="AA45" s="7" t="s">
        <v>167</v>
      </c>
      <c r="AB45" s="7" t="s">
        <v>209</v>
      </c>
      <c r="AC45" s="7" t="s">
        <v>210</v>
      </c>
      <c r="AD45" s="7"/>
      <c r="AE45" s="7"/>
      <c r="AF45" s="7"/>
      <c r="AG45" s="7"/>
      <c r="AH45" s="7"/>
      <c r="AI45" s="7" t="s">
        <v>170</v>
      </c>
      <c r="AJ45" s="7" t="s">
        <v>171</v>
      </c>
      <c r="AK45" s="7" t="s">
        <v>172</v>
      </c>
      <c r="AL45" s="7"/>
      <c r="AM45" s="10">
        <v>2025</v>
      </c>
      <c r="AN45" s="10">
        <v>1</v>
      </c>
      <c r="AO45" s="9">
        <v>45658</v>
      </c>
      <c r="AP45" s="9">
        <v>45658</v>
      </c>
      <c r="AQ45" s="9">
        <v>45658</v>
      </c>
      <c r="AR45" s="7" t="s">
        <v>194</v>
      </c>
      <c r="AS45" s="7"/>
      <c r="AT45" s="7" t="s">
        <v>195</v>
      </c>
      <c r="AU45" s="7" t="s">
        <v>196</v>
      </c>
      <c r="AV45" s="7"/>
      <c r="AW45" s="7"/>
      <c r="AX45" s="7"/>
      <c r="AY45" s="7" t="s">
        <v>176</v>
      </c>
      <c r="AZ45" s="7" t="s">
        <v>191</v>
      </c>
      <c r="BA45" s="7" t="s">
        <v>178</v>
      </c>
      <c r="BB45" s="12">
        <v>-250</v>
      </c>
      <c r="BC45" s="7" t="s">
        <v>12</v>
      </c>
      <c r="BD45" s="13">
        <v>1.37</v>
      </c>
      <c r="BE45" s="12">
        <v>-342.5</v>
      </c>
      <c r="BF45" s="7" t="s">
        <v>178</v>
      </c>
      <c r="BG45" s="13">
        <v>2.85</v>
      </c>
      <c r="BH45" s="12">
        <v>-976.13</v>
      </c>
      <c r="BI45" s="7"/>
      <c r="BJ45" s="13"/>
      <c r="BK45" s="12"/>
    </row>
    <row r="46" spans="1:63" x14ac:dyDescent="0.35">
      <c r="A46" s="7" t="s">
        <v>151</v>
      </c>
      <c r="B46" s="7" t="s">
        <v>152</v>
      </c>
      <c r="C46" s="7" t="s">
        <v>153</v>
      </c>
      <c r="D46" s="7"/>
      <c r="E46" s="7"/>
      <c r="F46" s="7" t="s">
        <v>203</v>
      </c>
      <c r="G46" s="7"/>
      <c r="H46" s="7"/>
      <c r="I46" s="7"/>
      <c r="J46" s="7"/>
      <c r="K46" s="7"/>
      <c r="L46" s="7" t="s">
        <v>155</v>
      </c>
      <c r="M46" s="7"/>
      <c r="N46" s="7"/>
      <c r="O46" s="7" t="s">
        <v>191</v>
      </c>
      <c r="P46" s="7" t="s">
        <v>192</v>
      </c>
      <c r="Q46" s="7" t="s">
        <v>204</v>
      </c>
      <c r="R46" s="7" t="s">
        <v>205</v>
      </c>
      <c r="S46" s="7" t="s">
        <v>206</v>
      </c>
      <c r="T46" s="7" t="s">
        <v>207</v>
      </c>
      <c r="U46" s="7"/>
      <c r="V46" s="7" t="s">
        <v>208</v>
      </c>
      <c r="W46" s="7" t="s">
        <v>163</v>
      </c>
      <c r="X46" s="7" t="s">
        <v>164</v>
      </c>
      <c r="Y46" s="7" t="s">
        <v>187</v>
      </c>
      <c r="Z46" s="7" t="s">
        <v>188</v>
      </c>
      <c r="AA46" s="7" t="s">
        <v>167</v>
      </c>
      <c r="AB46" s="7" t="s">
        <v>209</v>
      </c>
      <c r="AC46" s="7" t="s">
        <v>210</v>
      </c>
      <c r="AD46" s="7"/>
      <c r="AE46" s="7"/>
      <c r="AF46" s="7"/>
      <c r="AG46" s="7"/>
      <c r="AH46" s="7"/>
      <c r="AI46" s="7" t="s">
        <v>170</v>
      </c>
      <c r="AJ46" s="7" t="s">
        <v>171</v>
      </c>
      <c r="AK46" s="7" t="s">
        <v>172</v>
      </c>
      <c r="AL46" s="7"/>
      <c r="AM46" s="10">
        <v>2025</v>
      </c>
      <c r="AN46" s="10">
        <v>1</v>
      </c>
      <c r="AO46" s="9">
        <v>45658</v>
      </c>
      <c r="AP46" s="9">
        <v>45658</v>
      </c>
      <c r="AQ46" s="9">
        <v>45658</v>
      </c>
      <c r="AR46" s="7" t="s">
        <v>194</v>
      </c>
      <c r="AS46" s="7"/>
      <c r="AT46" s="7" t="s">
        <v>211</v>
      </c>
      <c r="AU46" s="7" t="s">
        <v>212</v>
      </c>
      <c r="AV46" s="7"/>
      <c r="AW46" s="7"/>
      <c r="AX46" s="7"/>
      <c r="AY46" s="7" t="s">
        <v>181</v>
      </c>
      <c r="AZ46" s="7" t="s">
        <v>191</v>
      </c>
      <c r="BA46" s="7" t="s">
        <v>178</v>
      </c>
      <c r="BB46" s="12">
        <v>154.07</v>
      </c>
      <c r="BC46" s="7" t="s">
        <v>12</v>
      </c>
      <c r="BD46" s="13">
        <v>1.37</v>
      </c>
      <c r="BE46" s="12">
        <v>211.07</v>
      </c>
      <c r="BF46" s="7" t="s">
        <v>178</v>
      </c>
      <c r="BG46" s="13">
        <v>2.85</v>
      </c>
      <c r="BH46" s="12">
        <v>601.54999999999995</v>
      </c>
      <c r="BI46" s="7"/>
      <c r="BJ46" s="13"/>
      <c r="BK46" s="12"/>
    </row>
    <row r="47" spans="1:63" x14ac:dyDescent="0.35">
      <c r="A47" s="7" t="s">
        <v>151</v>
      </c>
      <c r="B47" s="7" t="s">
        <v>152</v>
      </c>
      <c r="C47" s="7" t="s">
        <v>153</v>
      </c>
      <c r="D47" s="7"/>
      <c r="E47" s="7" t="s">
        <v>208</v>
      </c>
      <c r="F47" s="7" t="s">
        <v>203</v>
      </c>
      <c r="G47" s="7"/>
      <c r="H47" s="7"/>
      <c r="I47" s="7"/>
      <c r="J47" s="7"/>
      <c r="K47" s="7"/>
      <c r="L47" s="7" t="s">
        <v>155</v>
      </c>
      <c r="M47" s="7"/>
      <c r="N47" s="7"/>
      <c r="O47" s="7" t="s">
        <v>191</v>
      </c>
      <c r="P47" s="7" t="s">
        <v>192</v>
      </c>
      <c r="Q47" s="7" t="s">
        <v>204</v>
      </c>
      <c r="R47" s="7" t="s">
        <v>205</v>
      </c>
      <c r="S47" s="7" t="s">
        <v>206</v>
      </c>
      <c r="T47" s="7" t="s">
        <v>207</v>
      </c>
      <c r="U47" s="7"/>
      <c r="V47" s="7" t="s">
        <v>208</v>
      </c>
      <c r="W47" s="7" t="s">
        <v>163</v>
      </c>
      <c r="X47" s="7" t="s">
        <v>164</v>
      </c>
      <c r="Y47" s="7" t="s">
        <v>187</v>
      </c>
      <c r="Z47" s="7" t="s">
        <v>188</v>
      </c>
      <c r="AA47" s="7" t="s">
        <v>167</v>
      </c>
      <c r="AB47" s="7" t="s">
        <v>209</v>
      </c>
      <c r="AC47" s="7" t="s">
        <v>210</v>
      </c>
      <c r="AD47" s="7"/>
      <c r="AE47" s="7"/>
      <c r="AF47" s="7"/>
      <c r="AG47" s="7"/>
      <c r="AH47" s="7"/>
      <c r="AI47" s="7" t="s">
        <v>170</v>
      </c>
      <c r="AJ47" s="7" t="s">
        <v>171</v>
      </c>
      <c r="AK47" s="7" t="s">
        <v>172</v>
      </c>
      <c r="AL47" s="7"/>
      <c r="AM47" s="10">
        <v>2025</v>
      </c>
      <c r="AN47" s="10">
        <v>1</v>
      </c>
      <c r="AO47" s="9">
        <v>45658</v>
      </c>
      <c r="AP47" s="9">
        <v>45658</v>
      </c>
      <c r="AQ47" s="9">
        <v>45658</v>
      </c>
      <c r="AR47" s="7" t="s">
        <v>194</v>
      </c>
      <c r="AS47" s="7"/>
      <c r="AT47" s="7" t="s">
        <v>197</v>
      </c>
      <c r="AU47" s="7" t="s">
        <v>198</v>
      </c>
      <c r="AV47" s="7"/>
      <c r="AW47" s="7"/>
      <c r="AX47" s="7"/>
      <c r="AY47" s="7" t="s">
        <v>181</v>
      </c>
      <c r="AZ47" s="7" t="s">
        <v>191</v>
      </c>
      <c r="BA47" s="7" t="s">
        <v>178</v>
      </c>
      <c r="BB47" s="12">
        <v>6345.93</v>
      </c>
      <c r="BC47" s="7" t="s">
        <v>12</v>
      </c>
      <c r="BD47" s="13">
        <v>1.37</v>
      </c>
      <c r="BE47" s="12">
        <v>8693.93</v>
      </c>
      <c r="BF47" s="7" t="s">
        <v>178</v>
      </c>
      <c r="BG47" s="13">
        <v>2.85</v>
      </c>
      <c r="BH47" s="12">
        <v>24777.7</v>
      </c>
      <c r="BI47" s="7"/>
      <c r="BJ47" s="13"/>
      <c r="BK47" s="12"/>
    </row>
    <row r="48" spans="1:63" x14ac:dyDescent="0.35">
      <c r="A48" s="7" t="s">
        <v>151</v>
      </c>
      <c r="B48" s="7" t="s">
        <v>152</v>
      </c>
      <c r="C48" s="7" t="s">
        <v>153</v>
      </c>
      <c r="D48" s="7"/>
      <c r="E48" s="7"/>
      <c r="F48" s="7" t="s">
        <v>203</v>
      </c>
      <c r="G48" s="7"/>
      <c r="H48" s="7"/>
      <c r="I48" s="7"/>
      <c r="J48" s="7"/>
      <c r="K48" s="7"/>
      <c r="L48" s="7" t="s">
        <v>155</v>
      </c>
      <c r="M48" s="7"/>
      <c r="N48" s="7"/>
      <c r="O48" s="7" t="s">
        <v>191</v>
      </c>
      <c r="P48" s="7" t="s">
        <v>192</v>
      </c>
      <c r="Q48" s="7" t="s">
        <v>204</v>
      </c>
      <c r="R48" s="7" t="s">
        <v>205</v>
      </c>
      <c r="S48" s="7" t="s">
        <v>206</v>
      </c>
      <c r="T48" s="7" t="s">
        <v>207</v>
      </c>
      <c r="U48" s="7"/>
      <c r="V48" s="7" t="s">
        <v>208</v>
      </c>
      <c r="W48" s="7" t="s">
        <v>163</v>
      </c>
      <c r="X48" s="7" t="s">
        <v>164</v>
      </c>
      <c r="Y48" s="7" t="s">
        <v>187</v>
      </c>
      <c r="Z48" s="7" t="s">
        <v>188</v>
      </c>
      <c r="AA48" s="7" t="s">
        <v>167</v>
      </c>
      <c r="AB48" s="7" t="s">
        <v>209</v>
      </c>
      <c r="AC48" s="7" t="s">
        <v>210</v>
      </c>
      <c r="AD48" s="7"/>
      <c r="AE48" s="7"/>
      <c r="AF48" s="7"/>
      <c r="AG48" s="7"/>
      <c r="AH48" s="7"/>
      <c r="AI48" s="7" t="s">
        <v>170</v>
      </c>
      <c r="AJ48" s="7" t="s">
        <v>171</v>
      </c>
      <c r="AK48" s="7" t="s">
        <v>172</v>
      </c>
      <c r="AL48" s="7"/>
      <c r="AM48" s="10">
        <v>2025</v>
      </c>
      <c r="AN48" s="10">
        <v>1</v>
      </c>
      <c r="AO48" s="9">
        <v>45658</v>
      </c>
      <c r="AP48" s="9">
        <v>45658</v>
      </c>
      <c r="AQ48" s="9">
        <v>45658</v>
      </c>
      <c r="AR48" s="7" t="s">
        <v>194</v>
      </c>
      <c r="AS48" s="7"/>
      <c r="AT48" s="7" t="s">
        <v>202</v>
      </c>
      <c r="AU48" s="7" t="s">
        <v>200</v>
      </c>
      <c r="AV48" s="7"/>
      <c r="AW48" s="7"/>
      <c r="AX48" s="7"/>
      <c r="AY48" s="7" t="s">
        <v>181</v>
      </c>
      <c r="AZ48" s="7" t="s">
        <v>191</v>
      </c>
      <c r="BA48" s="7" t="s">
        <v>178</v>
      </c>
      <c r="BB48" s="12">
        <v>250</v>
      </c>
      <c r="BC48" s="7" t="s">
        <v>12</v>
      </c>
      <c r="BD48" s="13">
        <v>1.37</v>
      </c>
      <c r="BE48" s="12">
        <v>342.5</v>
      </c>
      <c r="BF48" s="7" t="s">
        <v>178</v>
      </c>
      <c r="BG48" s="13">
        <v>2.85</v>
      </c>
      <c r="BH48" s="12">
        <v>976.13</v>
      </c>
      <c r="BI48" s="7"/>
      <c r="BJ48" s="13"/>
      <c r="BK48" s="12"/>
    </row>
    <row r="49" spans="1:63" x14ac:dyDescent="0.35">
      <c r="A49" s="7" t="s">
        <v>151</v>
      </c>
      <c r="B49" s="7" t="s">
        <v>152</v>
      </c>
      <c r="C49" s="7" t="s">
        <v>153</v>
      </c>
      <c r="D49" s="7"/>
      <c r="E49" s="7"/>
      <c r="F49" s="7" t="s">
        <v>203</v>
      </c>
      <c r="G49" s="7"/>
      <c r="H49" s="7"/>
      <c r="I49" s="7"/>
      <c r="J49" s="7"/>
      <c r="K49" s="7"/>
      <c r="L49" s="7" t="s">
        <v>155</v>
      </c>
      <c r="M49" s="7"/>
      <c r="N49" s="7"/>
      <c r="O49" s="7" t="s">
        <v>191</v>
      </c>
      <c r="P49" s="7" t="s">
        <v>192</v>
      </c>
      <c r="Q49" s="7" t="s">
        <v>204</v>
      </c>
      <c r="R49" s="7" t="s">
        <v>205</v>
      </c>
      <c r="S49" s="7" t="s">
        <v>206</v>
      </c>
      <c r="T49" s="7" t="s">
        <v>207</v>
      </c>
      <c r="U49" s="7"/>
      <c r="V49" s="7" t="s">
        <v>208</v>
      </c>
      <c r="W49" s="7" t="s">
        <v>163</v>
      </c>
      <c r="X49" s="7" t="s">
        <v>164</v>
      </c>
      <c r="Y49" s="7" t="s">
        <v>165</v>
      </c>
      <c r="Z49" s="7" t="s">
        <v>166</v>
      </c>
      <c r="AA49" s="7" t="s">
        <v>167</v>
      </c>
      <c r="AB49" s="7" t="s">
        <v>209</v>
      </c>
      <c r="AC49" s="7" t="s">
        <v>213</v>
      </c>
      <c r="AD49" s="7"/>
      <c r="AE49" s="7"/>
      <c r="AF49" s="7"/>
      <c r="AG49" s="7"/>
      <c r="AH49" s="7"/>
      <c r="AI49" s="7" t="s">
        <v>170</v>
      </c>
      <c r="AJ49" s="7" t="s">
        <v>171</v>
      </c>
      <c r="AK49" s="7" t="s">
        <v>172</v>
      </c>
      <c r="AL49" s="7"/>
      <c r="AM49" s="10">
        <v>2025</v>
      </c>
      <c r="AN49" s="10">
        <v>1</v>
      </c>
      <c r="AO49" s="9">
        <v>45658</v>
      </c>
      <c r="AP49" s="9">
        <v>45658</v>
      </c>
      <c r="AQ49" s="9">
        <v>45658</v>
      </c>
      <c r="AR49" s="7" t="s">
        <v>194</v>
      </c>
      <c r="AS49" s="7"/>
      <c r="AT49" s="7" t="s">
        <v>195</v>
      </c>
      <c r="AU49" s="7" t="s">
        <v>196</v>
      </c>
      <c r="AV49" s="7"/>
      <c r="AW49" s="7"/>
      <c r="AX49" s="7"/>
      <c r="AY49" s="7" t="s">
        <v>176</v>
      </c>
      <c r="AZ49" s="7" t="s">
        <v>191</v>
      </c>
      <c r="BA49" s="7" t="s">
        <v>178</v>
      </c>
      <c r="BB49" s="12">
        <v>-6500</v>
      </c>
      <c r="BC49" s="7" t="s">
        <v>12</v>
      </c>
      <c r="BD49" s="13">
        <v>1.37</v>
      </c>
      <c r="BE49" s="12">
        <v>-8905</v>
      </c>
      <c r="BF49" s="7" t="s">
        <v>178</v>
      </c>
      <c r="BG49" s="13">
        <v>2.85</v>
      </c>
      <c r="BH49" s="12">
        <v>-25379.25</v>
      </c>
      <c r="BI49" s="7"/>
      <c r="BJ49" s="13"/>
      <c r="BK49" s="12"/>
    </row>
    <row r="50" spans="1:63" x14ac:dyDescent="0.35">
      <c r="A50" s="7" t="s">
        <v>151</v>
      </c>
      <c r="B50" s="7" t="s">
        <v>152</v>
      </c>
      <c r="C50" s="7" t="s">
        <v>153</v>
      </c>
      <c r="D50" s="7"/>
      <c r="E50" s="7"/>
      <c r="F50" s="7" t="s">
        <v>203</v>
      </c>
      <c r="G50" s="7"/>
      <c r="H50" s="7"/>
      <c r="I50" s="7"/>
      <c r="J50" s="7"/>
      <c r="K50" s="7"/>
      <c r="L50" s="7" t="s">
        <v>155</v>
      </c>
      <c r="M50" s="7"/>
      <c r="N50" s="7"/>
      <c r="O50" s="7" t="s">
        <v>191</v>
      </c>
      <c r="P50" s="7" t="s">
        <v>192</v>
      </c>
      <c r="Q50" s="7" t="s">
        <v>204</v>
      </c>
      <c r="R50" s="7" t="s">
        <v>205</v>
      </c>
      <c r="S50" s="7" t="s">
        <v>206</v>
      </c>
      <c r="T50" s="7" t="s">
        <v>207</v>
      </c>
      <c r="U50" s="7"/>
      <c r="V50" s="7" t="s">
        <v>208</v>
      </c>
      <c r="W50" s="7" t="s">
        <v>163</v>
      </c>
      <c r="X50" s="7" t="s">
        <v>164</v>
      </c>
      <c r="Y50" s="7" t="s">
        <v>165</v>
      </c>
      <c r="Z50" s="7" t="s">
        <v>166</v>
      </c>
      <c r="AA50" s="7" t="s">
        <v>167</v>
      </c>
      <c r="AB50" s="7" t="s">
        <v>209</v>
      </c>
      <c r="AC50" s="7" t="s">
        <v>213</v>
      </c>
      <c r="AD50" s="7"/>
      <c r="AE50" s="7"/>
      <c r="AF50" s="7"/>
      <c r="AG50" s="7"/>
      <c r="AH50" s="7"/>
      <c r="AI50" s="7" t="s">
        <v>170</v>
      </c>
      <c r="AJ50" s="7" t="s">
        <v>171</v>
      </c>
      <c r="AK50" s="7" t="s">
        <v>172</v>
      </c>
      <c r="AL50" s="7"/>
      <c r="AM50" s="10">
        <v>2025</v>
      </c>
      <c r="AN50" s="10">
        <v>1</v>
      </c>
      <c r="AO50" s="9">
        <v>45658</v>
      </c>
      <c r="AP50" s="9">
        <v>45658</v>
      </c>
      <c r="AQ50" s="9">
        <v>45658</v>
      </c>
      <c r="AR50" s="7" t="s">
        <v>194</v>
      </c>
      <c r="AS50" s="7"/>
      <c r="AT50" s="7" t="s">
        <v>195</v>
      </c>
      <c r="AU50" s="7" t="s">
        <v>196</v>
      </c>
      <c r="AV50" s="7"/>
      <c r="AW50" s="7"/>
      <c r="AX50" s="7"/>
      <c r="AY50" s="7" t="s">
        <v>176</v>
      </c>
      <c r="AZ50" s="7" t="s">
        <v>191</v>
      </c>
      <c r="BA50" s="7" t="s">
        <v>178</v>
      </c>
      <c r="BB50" s="12">
        <v>-250</v>
      </c>
      <c r="BC50" s="7" t="s">
        <v>12</v>
      </c>
      <c r="BD50" s="13">
        <v>1.37</v>
      </c>
      <c r="BE50" s="12">
        <v>-342.5</v>
      </c>
      <c r="BF50" s="7" t="s">
        <v>178</v>
      </c>
      <c r="BG50" s="13">
        <v>2.85</v>
      </c>
      <c r="BH50" s="12">
        <v>-976.13</v>
      </c>
      <c r="BI50" s="7"/>
      <c r="BJ50" s="13"/>
      <c r="BK50" s="12"/>
    </row>
    <row r="51" spans="1:63" x14ac:dyDescent="0.35">
      <c r="A51" s="7" t="s">
        <v>151</v>
      </c>
      <c r="B51" s="7" t="s">
        <v>152</v>
      </c>
      <c r="C51" s="7" t="s">
        <v>153</v>
      </c>
      <c r="D51" s="7"/>
      <c r="E51" s="7"/>
      <c r="F51" s="7" t="s">
        <v>203</v>
      </c>
      <c r="G51" s="7"/>
      <c r="H51" s="7"/>
      <c r="I51" s="7"/>
      <c r="J51" s="7"/>
      <c r="K51" s="7"/>
      <c r="L51" s="7" t="s">
        <v>155</v>
      </c>
      <c r="M51" s="7"/>
      <c r="N51" s="7"/>
      <c r="O51" s="7" t="s">
        <v>191</v>
      </c>
      <c r="P51" s="7" t="s">
        <v>192</v>
      </c>
      <c r="Q51" s="7" t="s">
        <v>204</v>
      </c>
      <c r="R51" s="7" t="s">
        <v>205</v>
      </c>
      <c r="S51" s="7" t="s">
        <v>206</v>
      </c>
      <c r="T51" s="7" t="s">
        <v>207</v>
      </c>
      <c r="U51" s="7"/>
      <c r="V51" s="7" t="s">
        <v>208</v>
      </c>
      <c r="W51" s="7" t="s">
        <v>163</v>
      </c>
      <c r="X51" s="7" t="s">
        <v>164</v>
      </c>
      <c r="Y51" s="7" t="s">
        <v>165</v>
      </c>
      <c r="Z51" s="7" t="s">
        <v>166</v>
      </c>
      <c r="AA51" s="7" t="s">
        <v>167</v>
      </c>
      <c r="AB51" s="7" t="s">
        <v>209</v>
      </c>
      <c r="AC51" s="7" t="s">
        <v>213</v>
      </c>
      <c r="AD51" s="7"/>
      <c r="AE51" s="7"/>
      <c r="AF51" s="7"/>
      <c r="AG51" s="7"/>
      <c r="AH51" s="7"/>
      <c r="AI51" s="7" t="s">
        <v>170</v>
      </c>
      <c r="AJ51" s="7" t="s">
        <v>171</v>
      </c>
      <c r="AK51" s="7" t="s">
        <v>172</v>
      </c>
      <c r="AL51" s="7"/>
      <c r="AM51" s="10">
        <v>2025</v>
      </c>
      <c r="AN51" s="10">
        <v>1</v>
      </c>
      <c r="AO51" s="9">
        <v>45658</v>
      </c>
      <c r="AP51" s="9">
        <v>45658</v>
      </c>
      <c r="AQ51" s="9">
        <v>45658</v>
      </c>
      <c r="AR51" s="7" t="s">
        <v>194</v>
      </c>
      <c r="AS51" s="7"/>
      <c r="AT51" s="7" t="s">
        <v>211</v>
      </c>
      <c r="AU51" s="7" t="s">
        <v>212</v>
      </c>
      <c r="AV51" s="7"/>
      <c r="AW51" s="7"/>
      <c r="AX51" s="7"/>
      <c r="AY51" s="7" t="s">
        <v>181</v>
      </c>
      <c r="AZ51" s="7" t="s">
        <v>191</v>
      </c>
      <c r="BA51" s="7" t="s">
        <v>178</v>
      </c>
      <c r="BB51" s="12">
        <v>154.07</v>
      </c>
      <c r="BC51" s="7" t="s">
        <v>12</v>
      </c>
      <c r="BD51" s="13">
        <v>1.37</v>
      </c>
      <c r="BE51" s="12">
        <v>211.07</v>
      </c>
      <c r="BF51" s="7" t="s">
        <v>178</v>
      </c>
      <c r="BG51" s="13">
        <v>2.85</v>
      </c>
      <c r="BH51" s="12">
        <v>601.54999999999995</v>
      </c>
      <c r="BI51" s="7"/>
      <c r="BJ51" s="13"/>
      <c r="BK51" s="12"/>
    </row>
    <row r="52" spans="1:63" x14ac:dyDescent="0.35">
      <c r="A52" s="7" t="s">
        <v>151</v>
      </c>
      <c r="B52" s="7" t="s">
        <v>152</v>
      </c>
      <c r="C52" s="7" t="s">
        <v>153</v>
      </c>
      <c r="D52" s="7"/>
      <c r="E52" s="7" t="s">
        <v>208</v>
      </c>
      <c r="F52" s="7" t="s">
        <v>203</v>
      </c>
      <c r="G52" s="7"/>
      <c r="H52" s="7"/>
      <c r="I52" s="7"/>
      <c r="J52" s="7"/>
      <c r="K52" s="7"/>
      <c r="L52" s="7" t="s">
        <v>155</v>
      </c>
      <c r="M52" s="7"/>
      <c r="N52" s="7"/>
      <c r="O52" s="7" t="s">
        <v>191</v>
      </c>
      <c r="P52" s="7" t="s">
        <v>192</v>
      </c>
      <c r="Q52" s="7" t="s">
        <v>204</v>
      </c>
      <c r="R52" s="7" t="s">
        <v>205</v>
      </c>
      <c r="S52" s="7" t="s">
        <v>206</v>
      </c>
      <c r="T52" s="7" t="s">
        <v>207</v>
      </c>
      <c r="U52" s="7"/>
      <c r="V52" s="7" t="s">
        <v>208</v>
      </c>
      <c r="W52" s="7" t="s">
        <v>163</v>
      </c>
      <c r="X52" s="7" t="s">
        <v>164</v>
      </c>
      <c r="Y52" s="7" t="s">
        <v>165</v>
      </c>
      <c r="Z52" s="7" t="s">
        <v>166</v>
      </c>
      <c r="AA52" s="7" t="s">
        <v>167</v>
      </c>
      <c r="AB52" s="7" t="s">
        <v>209</v>
      </c>
      <c r="AC52" s="7" t="s">
        <v>213</v>
      </c>
      <c r="AD52" s="7"/>
      <c r="AE52" s="7"/>
      <c r="AF52" s="7"/>
      <c r="AG52" s="7"/>
      <c r="AH52" s="7"/>
      <c r="AI52" s="7" t="s">
        <v>170</v>
      </c>
      <c r="AJ52" s="7" t="s">
        <v>171</v>
      </c>
      <c r="AK52" s="7" t="s">
        <v>172</v>
      </c>
      <c r="AL52" s="7"/>
      <c r="AM52" s="10">
        <v>2025</v>
      </c>
      <c r="AN52" s="10">
        <v>1</v>
      </c>
      <c r="AO52" s="9">
        <v>45658</v>
      </c>
      <c r="AP52" s="9">
        <v>45658</v>
      </c>
      <c r="AQ52" s="9">
        <v>45658</v>
      </c>
      <c r="AR52" s="7" t="s">
        <v>194</v>
      </c>
      <c r="AS52" s="7"/>
      <c r="AT52" s="7" t="s">
        <v>197</v>
      </c>
      <c r="AU52" s="7" t="s">
        <v>198</v>
      </c>
      <c r="AV52" s="7"/>
      <c r="AW52" s="7"/>
      <c r="AX52" s="7"/>
      <c r="AY52" s="7" t="s">
        <v>181</v>
      </c>
      <c r="AZ52" s="7" t="s">
        <v>191</v>
      </c>
      <c r="BA52" s="7" t="s">
        <v>178</v>
      </c>
      <c r="BB52" s="12">
        <v>6345.93</v>
      </c>
      <c r="BC52" s="7" t="s">
        <v>12</v>
      </c>
      <c r="BD52" s="13">
        <v>1.37</v>
      </c>
      <c r="BE52" s="12">
        <v>8693.93</v>
      </c>
      <c r="BF52" s="7" t="s">
        <v>178</v>
      </c>
      <c r="BG52" s="13">
        <v>2.85</v>
      </c>
      <c r="BH52" s="12">
        <v>24777.7</v>
      </c>
      <c r="BI52" s="7"/>
      <c r="BJ52" s="13"/>
      <c r="BK52" s="12"/>
    </row>
    <row r="53" spans="1:63" x14ac:dyDescent="0.35">
      <c r="A53" s="7" t="s">
        <v>151</v>
      </c>
      <c r="B53" s="7" t="s">
        <v>152</v>
      </c>
      <c r="C53" s="7" t="s">
        <v>153</v>
      </c>
      <c r="D53" s="7"/>
      <c r="E53" s="7"/>
      <c r="F53" s="7" t="s">
        <v>203</v>
      </c>
      <c r="G53" s="7"/>
      <c r="H53" s="7"/>
      <c r="I53" s="7"/>
      <c r="J53" s="7"/>
      <c r="K53" s="7"/>
      <c r="L53" s="7" t="s">
        <v>155</v>
      </c>
      <c r="M53" s="7"/>
      <c r="N53" s="7"/>
      <c r="O53" s="7" t="s">
        <v>191</v>
      </c>
      <c r="P53" s="7" t="s">
        <v>192</v>
      </c>
      <c r="Q53" s="7" t="s">
        <v>204</v>
      </c>
      <c r="R53" s="7" t="s">
        <v>205</v>
      </c>
      <c r="S53" s="7" t="s">
        <v>206</v>
      </c>
      <c r="T53" s="7" t="s">
        <v>207</v>
      </c>
      <c r="U53" s="7"/>
      <c r="V53" s="7" t="s">
        <v>208</v>
      </c>
      <c r="W53" s="7" t="s">
        <v>163</v>
      </c>
      <c r="X53" s="7" t="s">
        <v>164</v>
      </c>
      <c r="Y53" s="7" t="s">
        <v>165</v>
      </c>
      <c r="Z53" s="7" t="s">
        <v>166</v>
      </c>
      <c r="AA53" s="7" t="s">
        <v>167</v>
      </c>
      <c r="AB53" s="7" t="s">
        <v>209</v>
      </c>
      <c r="AC53" s="7" t="s">
        <v>213</v>
      </c>
      <c r="AD53" s="7"/>
      <c r="AE53" s="7"/>
      <c r="AF53" s="7"/>
      <c r="AG53" s="7"/>
      <c r="AH53" s="7"/>
      <c r="AI53" s="7" t="s">
        <v>170</v>
      </c>
      <c r="AJ53" s="7" t="s">
        <v>171</v>
      </c>
      <c r="AK53" s="7" t="s">
        <v>172</v>
      </c>
      <c r="AL53" s="7"/>
      <c r="AM53" s="10">
        <v>2025</v>
      </c>
      <c r="AN53" s="10">
        <v>1</v>
      </c>
      <c r="AO53" s="9">
        <v>45658</v>
      </c>
      <c r="AP53" s="9">
        <v>45658</v>
      </c>
      <c r="AQ53" s="9">
        <v>45658</v>
      </c>
      <c r="AR53" s="7" t="s">
        <v>194</v>
      </c>
      <c r="AS53" s="7"/>
      <c r="AT53" s="7" t="s">
        <v>202</v>
      </c>
      <c r="AU53" s="7" t="s">
        <v>200</v>
      </c>
      <c r="AV53" s="7"/>
      <c r="AW53" s="7"/>
      <c r="AX53" s="7"/>
      <c r="AY53" s="7" t="s">
        <v>181</v>
      </c>
      <c r="AZ53" s="7" t="s">
        <v>191</v>
      </c>
      <c r="BA53" s="7" t="s">
        <v>178</v>
      </c>
      <c r="BB53" s="12">
        <v>250</v>
      </c>
      <c r="BC53" s="7" t="s">
        <v>12</v>
      </c>
      <c r="BD53" s="13">
        <v>1.37</v>
      </c>
      <c r="BE53" s="12">
        <v>342.5</v>
      </c>
      <c r="BF53" s="7" t="s">
        <v>178</v>
      </c>
      <c r="BG53" s="13">
        <v>2.85</v>
      </c>
      <c r="BH53" s="12">
        <v>976.13</v>
      </c>
      <c r="BI53" s="7"/>
      <c r="BJ53" s="13"/>
      <c r="BK53" s="12"/>
    </row>
    <row r="54" spans="1:63" x14ac:dyDescent="0.35">
      <c r="A54" s="7" t="s">
        <v>151</v>
      </c>
      <c r="B54" s="7" t="s">
        <v>152</v>
      </c>
      <c r="C54" s="7" t="s">
        <v>153</v>
      </c>
      <c r="D54" s="7"/>
      <c r="E54" s="7"/>
      <c r="F54" s="7" t="s">
        <v>154</v>
      </c>
      <c r="G54" s="7"/>
      <c r="H54" s="7"/>
      <c r="I54" s="7"/>
      <c r="J54" s="7"/>
      <c r="K54" s="7"/>
      <c r="L54" s="7" t="s">
        <v>155</v>
      </c>
      <c r="M54" s="7"/>
      <c r="N54" s="7"/>
      <c r="O54" s="7" t="s">
        <v>214</v>
      </c>
      <c r="P54" s="7" t="s">
        <v>215</v>
      </c>
      <c r="Q54" s="7" t="s">
        <v>158</v>
      </c>
      <c r="R54" s="7" t="s">
        <v>159</v>
      </c>
      <c r="S54" s="7" t="s">
        <v>160</v>
      </c>
      <c r="T54" s="7" t="s">
        <v>161</v>
      </c>
      <c r="U54" s="7"/>
      <c r="V54" s="7" t="s">
        <v>162</v>
      </c>
      <c r="W54" s="7" t="s">
        <v>163</v>
      </c>
      <c r="X54" s="7" t="s">
        <v>164</v>
      </c>
      <c r="Y54" s="7" t="s">
        <v>187</v>
      </c>
      <c r="Z54" s="7" t="s">
        <v>188</v>
      </c>
      <c r="AA54" s="7" t="s">
        <v>167</v>
      </c>
      <c r="AB54" s="7" t="s">
        <v>168</v>
      </c>
      <c r="AC54" s="7" t="s">
        <v>216</v>
      </c>
      <c r="AD54" s="7"/>
      <c r="AE54" s="7"/>
      <c r="AF54" s="7"/>
      <c r="AG54" s="7"/>
      <c r="AH54" s="7"/>
      <c r="AI54" s="7" t="s">
        <v>170</v>
      </c>
      <c r="AJ54" s="7" t="s">
        <v>171</v>
      </c>
      <c r="AK54" s="7" t="s">
        <v>172</v>
      </c>
      <c r="AL54" s="7"/>
      <c r="AM54" s="10">
        <v>2025</v>
      </c>
      <c r="AN54" s="10">
        <v>1</v>
      </c>
      <c r="AO54" s="9">
        <v>45688</v>
      </c>
      <c r="AP54" s="9">
        <v>45688</v>
      </c>
      <c r="AQ54" s="9">
        <v>45688</v>
      </c>
      <c r="AR54" s="7" t="s">
        <v>173</v>
      </c>
      <c r="AS54" s="7"/>
      <c r="AT54" s="7" t="s">
        <v>211</v>
      </c>
      <c r="AU54" s="7" t="s">
        <v>212</v>
      </c>
      <c r="AV54" s="7"/>
      <c r="AW54" s="7"/>
      <c r="AX54" s="7"/>
      <c r="AY54" s="7" t="s">
        <v>176</v>
      </c>
      <c r="AZ54" s="7" t="s">
        <v>214</v>
      </c>
      <c r="BA54" s="7" t="s">
        <v>9</v>
      </c>
      <c r="BB54" s="12">
        <v>-181.81</v>
      </c>
      <c r="BC54" s="7" t="s">
        <v>12</v>
      </c>
      <c r="BD54" s="13">
        <v>1.54</v>
      </c>
      <c r="BE54" s="12">
        <v>-279.99</v>
      </c>
      <c r="BF54" s="7" t="s">
        <v>178</v>
      </c>
      <c r="BG54" s="13">
        <v>2.85</v>
      </c>
      <c r="BH54" s="12">
        <v>-797.97</v>
      </c>
      <c r="BI54" s="7"/>
      <c r="BJ54" s="13"/>
      <c r="BK54" s="12"/>
    </row>
    <row r="55" spans="1:63" x14ac:dyDescent="0.35">
      <c r="A55" s="7" t="s">
        <v>151</v>
      </c>
      <c r="B55" s="7" t="s">
        <v>152</v>
      </c>
      <c r="C55" s="7" t="s">
        <v>153</v>
      </c>
      <c r="D55" s="7"/>
      <c r="E55" s="7" t="s">
        <v>162</v>
      </c>
      <c r="F55" s="7" t="s">
        <v>154</v>
      </c>
      <c r="G55" s="7"/>
      <c r="H55" s="7"/>
      <c r="I55" s="7"/>
      <c r="J55" s="7"/>
      <c r="K55" s="7"/>
      <c r="L55" s="7" t="s">
        <v>155</v>
      </c>
      <c r="M55" s="7"/>
      <c r="N55" s="7"/>
      <c r="O55" s="7" t="s">
        <v>214</v>
      </c>
      <c r="P55" s="7" t="s">
        <v>215</v>
      </c>
      <c r="Q55" s="7" t="s">
        <v>158</v>
      </c>
      <c r="R55" s="7" t="s">
        <v>159</v>
      </c>
      <c r="S55" s="7" t="s">
        <v>160</v>
      </c>
      <c r="T55" s="7" t="s">
        <v>161</v>
      </c>
      <c r="U55" s="7"/>
      <c r="V55" s="7" t="s">
        <v>162</v>
      </c>
      <c r="W55" s="7" t="s">
        <v>163</v>
      </c>
      <c r="X55" s="7" t="s">
        <v>164</v>
      </c>
      <c r="Y55" s="7" t="s">
        <v>187</v>
      </c>
      <c r="Z55" s="7" t="s">
        <v>188</v>
      </c>
      <c r="AA55" s="7" t="s">
        <v>167</v>
      </c>
      <c r="AB55" s="7" t="s">
        <v>168</v>
      </c>
      <c r="AC55" s="7" t="s">
        <v>216</v>
      </c>
      <c r="AD55" s="7"/>
      <c r="AE55" s="7"/>
      <c r="AF55" s="7"/>
      <c r="AG55" s="7"/>
      <c r="AH55" s="7"/>
      <c r="AI55" s="7" t="s">
        <v>170</v>
      </c>
      <c r="AJ55" s="7" t="s">
        <v>171</v>
      </c>
      <c r="AK55" s="7" t="s">
        <v>172</v>
      </c>
      <c r="AL55" s="7"/>
      <c r="AM55" s="10">
        <v>2025</v>
      </c>
      <c r="AN55" s="10">
        <v>1</v>
      </c>
      <c r="AO55" s="9">
        <v>45688</v>
      </c>
      <c r="AP55" s="9">
        <v>45688</v>
      </c>
      <c r="AQ55" s="9">
        <v>45688</v>
      </c>
      <c r="AR55" s="7" t="s">
        <v>173</v>
      </c>
      <c r="AS55" s="7"/>
      <c r="AT55" s="7" t="s">
        <v>217</v>
      </c>
      <c r="AU55" s="7" t="s">
        <v>218</v>
      </c>
      <c r="AV55" s="7"/>
      <c r="AW55" s="7"/>
      <c r="AX55" s="7"/>
      <c r="AY55" s="7" t="s">
        <v>181</v>
      </c>
      <c r="AZ55" s="7" t="s">
        <v>214</v>
      </c>
      <c r="BA55" s="7" t="s">
        <v>9</v>
      </c>
      <c r="BB55" s="12">
        <v>181.81</v>
      </c>
      <c r="BC55" s="7" t="s">
        <v>12</v>
      </c>
      <c r="BD55" s="13">
        <v>1.54</v>
      </c>
      <c r="BE55" s="12">
        <v>279.99</v>
      </c>
      <c r="BF55" s="7" t="s">
        <v>178</v>
      </c>
      <c r="BG55" s="13">
        <v>2.85</v>
      </c>
      <c r="BH55" s="12">
        <v>797.97</v>
      </c>
      <c r="BI55" s="7"/>
      <c r="BJ55" s="13"/>
      <c r="BK55" s="12"/>
    </row>
    <row r="56" spans="1:63" x14ac:dyDescent="0.35">
      <c r="A56" s="7" t="s">
        <v>151</v>
      </c>
      <c r="B56" s="7" t="s">
        <v>152</v>
      </c>
      <c r="C56" s="7" t="s">
        <v>153</v>
      </c>
      <c r="D56" s="7"/>
      <c r="E56" s="7"/>
      <c r="F56" s="7" t="s">
        <v>154</v>
      </c>
      <c r="G56" s="7"/>
      <c r="H56" s="7"/>
      <c r="I56" s="7"/>
      <c r="J56" s="7"/>
      <c r="K56" s="7"/>
      <c r="L56" s="7" t="s">
        <v>155</v>
      </c>
      <c r="M56" s="7"/>
      <c r="N56" s="7"/>
      <c r="O56" s="7" t="s">
        <v>214</v>
      </c>
      <c r="P56" s="7" t="s">
        <v>215</v>
      </c>
      <c r="Q56" s="7" t="s">
        <v>158</v>
      </c>
      <c r="R56" s="7" t="s">
        <v>159</v>
      </c>
      <c r="S56" s="7" t="s">
        <v>160</v>
      </c>
      <c r="T56" s="7" t="s">
        <v>161</v>
      </c>
      <c r="U56" s="7"/>
      <c r="V56" s="7" t="s">
        <v>162</v>
      </c>
      <c r="W56" s="7" t="s">
        <v>163</v>
      </c>
      <c r="X56" s="7" t="s">
        <v>164</v>
      </c>
      <c r="Y56" s="7" t="s">
        <v>187</v>
      </c>
      <c r="Z56" s="7" t="s">
        <v>188</v>
      </c>
      <c r="AA56" s="7" t="s">
        <v>167</v>
      </c>
      <c r="AB56" s="7" t="s">
        <v>168</v>
      </c>
      <c r="AC56" s="7" t="s">
        <v>216</v>
      </c>
      <c r="AD56" s="7"/>
      <c r="AE56" s="7"/>
      <c r="AF56" s="7"/>
      <c r="AG56" s="7"/>
      <c r="AH56" s="7"/>
      <c r="AI56" s="7" t="s">
        <v>170</v>
      </c>
      <c r="AJ56" s="7" t="s">
        <v>171</v>
      </c>
      <c r="AK56" s="7" t="s">
        <v>172</v>
      </c>
      <c r="AL56" s="7"/>
      <c r="AM56" s="10">
        <v>2025</v>
      </c>
      <c r="AN56" s="10">
        <v>1</v>
      </c>
      <c r="AO56" s="9">
        <v>45688</v>
      </c>
      <c r="AP56" s="9">
        <v>45688</v>
      </c>
      <c r="AQ56" s="9">
        <v>45688</v>
      </c>
      <c r="AR56" s="7" t="s">
        <v>173</v>
      </c>
      <c r="AS56" s="7"/>
      <c r="AT56" s="7" t="s">
        <v>202</v>
      </c>
      <c r="AU56" s="7" t="s">
        <v>200</v>
      </c>
      <c r="AV56" s="7"/>
      <c r="AW56" s="7"/>
      <c r="AX56" s="7"/>
      <c r="AY56" s="7" t="s">
        <v>176</v>
      </c>
      <c r="AZ56" s="7" t="s">
        <v>214</v>
      </c>
      <c r="BA56" s="7" t="s">
        <v>9</v>
      </c>
      <c r="BB56" s="12">
        <v>-900</v>
      </c>
      <c r="BC56" s="7" t="s">
        <v>12</v>
      </c>
      <c r="BD56" s="13">
        <v>1.54</v>
      </c>
      <c r="BE56" s="12">
        <v>-1386</v>
      </c>
      <c r="BF56" s="7" t="s">
        <v>178</v>
      </c>
      <c r="BG56" s="13">
        <v>2.85</v>
      </c>
      <c r="BH56" s="12">
        <v>-3950.1</v>
      </c>
      <c r="BI56" s="7"/>
      <c r="BJ56" s="13"/>
      <c r="BK56" s="12"/>
    </row>
    <row r="57" spans="1:63" x14ac:dyDescent="0.35">
      <c r="A57" s="7" t="s">
        <v>151</v>
      </c>
      <c r="B57" s="7" t="s">
        <v>152</v>
      </c>
      <c r="C57" s="7" t="s">
        <v>153</v>
      </c>
      <c r="D57" s="7"/>
      <c r="E57" s="7" t="s">
        <v>162</v>
      </c>
      <c r="F57" s="7" t="s">
        <v>154</v>
      </c>
      <c r="G57" s="7"/>
      <c r="H57" s="7"/>
      <c r="I57" s="7"/>
      <c r="J57" s="7"/>
      <c r="K57" s="7"/>
      <c r="L57" s="7" t="s">
        <v>155</v>
      </c>
      <c r="M57" s="7"/>
      <c r="N57" s="7"/>
      <c r="O57" s="7" t="s">
        <v>214</v>
      </c>
      <c r="P57" s="7" t="s">
        <v>215</v>
      </c>
      <c r="Q57" s="7" t="s">
        <v>158</v>
      </c>
      <c r="R57" s="7" t="s">
        <v>159</v>
      </c>
      <c r="S57" s="7" t="s">
        <v>160</v>
      </c>
      <c r="T57" s="7" t="s">
        <v>161</v>
      </c>
      <c r="U57" s="7"/>
      <c r="V57" s="7" t="s">
        <v>162</v>
      </c>
      <c r="W57" s="7" t="s">
        <v>163</v>
      </c>
      <c r="X57" s="7" t="s">
        <v>164</v>
      </c>
      <c r="Y57" s="7" t="s">
        <v>187</v>
      </c>
      <c r="Z57" s="7" t="s">
        <v>188</v>
      </c>
      <c r="AA57" s="7" t="s">
        <v>167</v>
      </c>
      <c r="AB57" s="7" t="s">
        <v>168</v>
      </c>
      <c r="AC57" s="7" t="s">
        <v>216</v>
      </c>
      <c r="AD57" s="7"/>
      <c r="AE57" s="7"/>
      <c r="AF57" s="7"/>
      <c r="AG57" s="7"/>
      <c r="AH57" s="7"/>
      <c r="AI57" s="7" t="s">
        <v>170</v>
      </c>
      <c r="AJ57" s="7" t="s">
        <v>171</v>
      </c>
      <c r="AK57" s="7" t="s">
        <v>172</v>
      </c>
      <c r="AL57" s="7"/>
      <c r="AM57" s="10">
        <v>2025</v>
      </c>
      <c r="AN57" s="10">
        <v>1</v>
      </c>
      <c r="AO57" s="9">
        <v>45688</v>
      </c>
      <c r="AP57" s="9">
        <v>45688</v>
      </c>
      <c r="AQ57" s="9">
        <v>45688</v>
      </c>
      <c r="AR57" s="7" t="s">
        <v>173</v>
      </c>
      <c r="AS57" s="7"/>
      <c r="AT57" s="7" t="s">
        <v>219</v>
      </c>
      <c r="AU57" s="7" t="s">
        <v>220</v>
      </c>
      <c r="AV57" s="7"/>
      <c r="AW57" s="7"/>
      <c r="AX57" s="7"/>
      <c r="AY57" s="7" t="s">
        <v>181</v>
      </c>
      <c r="AZ57" s="7" t="s">
        <v>214</v>
      </c>
      <c r="BA57" s="7" t="s">
        <v>9</v>
      </c>
      <c r="BB57" s="12">
        <v>900</v>
      </c>
      <c r="BC57" s="7" t="s">
        <v>12</v>
      </c>
      <c r="BD57" s="13">
        <v>1.54</v>
      </c>
      <c r="BE57" s="12">
        <v>1386</v>
      </c>
      <c r="BF57" s="7" t="s">
        <v>178</v>
      </c>
      <c r="BG57" s="13">
        <v>2.85</v>
      </c>
      <c r="BH57" s="12">
        <v>3950.1</v>
      </c>
      <c r="BI57" s="7"/>
      <c r="BJ57" s="13"/>
      <c r="BK57" s="12"/>
    </row>
    <row r="58" spans="1:63" x14ac:dyDescent="0.35">
      <c r="A58" s="7" t="s">
        <v>151</v>
      </c>
      <c r="B58" s="7" t="s">
        <v>152</v>
      </c>
      <c r="C58" s="7" t="s">
        <v>153</v>
      </c>
      <c r="D58" s="7"/>
      <c r="E58" s="7" t="s">
        <v>162</v>
      </c>
      <c r="F58" s="7" t="s">
        <v>154</v>
      </c>
      <c r="G58" s="7"/>
      <c r="H58" s="7"/>
      <c r="I58" s="7"/>
      <c r="J58" s="7"/>
      <c r="K58" s="7"/>
      <c r="L58" s="7" t="s">
        <v>155</v>
      </c>
      <c r="M58" s="7"/>
      <c r="N58" s="7"/>
      <c r="O58" s="7" t="s">
        <v>214</v>
      </c>
      <c r="P58" s="7" t="s">
        <v>215</v>
      </c>
      <c r="Q58" s="7" t="s">
        <v>158</v>
      </c>
      <c r="R58" s="7" t="s">
        <v>159</v>
      </c>
      <c r="S58" s="7" t="s">
        <v>160</v>
      </c>
      <c r="T58" s="7" t="s">
        <v>161</v>
      </c>
      <c r="U58" s="7"/>
      <c r="V58" s="7" t="s">
        <v>162</v>
      </c>
      <c r="W58" s="7" t="s">
        <v>163</v>
      </c>
      <c r="X58" s="7" t="s">
        <v>164</v>
      </c>
      <c r="Y58" s="7" t="s">
        <v>187</v>
      </c>
      <c r="Z58" s="7" t="s">
        <v>188</v>
      </c>
      <c r="AA58" s="7" t="s">
        <v>167</v>
      </c>
      <c r="AB58" s="7" t="s">
        <v>168</v>
      </c>
      <c r="AC58" s="7" t="s">
        <v>216</v>
      </c>
      <c r="AD58" s="7"/>
      <c r="AE58" s="7"/>
      <c r="AF58" s="7"/>
      <c r="AG58" s="7"/>
      <c r="AH58" s="7"/>
      <c r="AI58" s="7" t="s">
        <v>170</v>
      </c>
      <c r="AJ58" s="7" t="s">
        <v>171</v>
      </c>
      <c r="AK58" s="7" t="s">
        <v>172</v>
      </c>
      <c r="AL58" s="7"/>
      <c r="AM58" s="10">
        <v>2025</v>
      </c>
      <c r="AN58" s="10">
        <v>1</v>
      </c>
      <c r="AO58" s="9">
        <v>45688</v>
      </c>
      <c r="AP58" s="9">
        <v>45688</v>
      </c>
      <c r="AQ58" s="9">
        <v>45688</v>
      </c>
      <c r="AR58" s="7" t="s">
        <v>173</v>
      </c>
      <c r="AS58" s="7"/>
      <c r="AT58" s="7" t="s">
        <v>197</v>
      </c>
      <c r="AU58" s="7" t="s">
        <v>198</v>
      </c>
      <c r="AV58" s="7"/>
      <c r="AW58" s="7"/>
      <c r="AX58" s="7"/>
      <c r="AY58" s="7" t="s">
        <v>176</v>
      </c>
      <c r="AZ58" s="7" t="s">
        <v>214</v>
      </c>
      <c r="BA58" s="7" t="s">
        <v>9</v>
      </c>
      <c r="BB58" s="12">
        <v>-102336</v>
      </c>
      <c r="BC58" s="7" t="s">
        <v>12</v>
      </c>
      <c r="BD58" s="13">
        <v>1.54</v>
      </c>
      <c r="BE58" s="12">
        <v>-157597.44</v>
      </c>
      <c r="BF58" s="7" t="s">
        <v>178</v>
      </c>
      <c r="BG58" s="13">
        <v>2.85</v>
      </c>
      <c r="BH58" s="12">
        <v>-449152.71</v>
      </c>
      <c r="BI58" s="7"/>
      <c r="BJ58" s="13"/>
      <c r="BK58" s="12"/>
    </row>
    <row r="59" spans="1:63" x14ac:dyDescent="0.35">
      <c r="A59" s="7" t="s">
        <v>151</v>
      </c>
      <c r="B59" s="7" t="s">
        <v>152</v>
      </c>
      <c r="C59" s="7" t="s">
        <v>153</v>
      </c>
      <c r="D59" s="7"/>
      <c r="E59" s="7"/>
      <c r="F59" s="7" t="s">
        <v>154</v>
      </c>
      <c r="G59" s="7"/>
      <c r="H59" s="7"/>
      <c r="I59" s="7"/>
      <c r="J59" s="7"/>
      <c r="K59" s="7"/>
      <c r="L59" s="7" t="s">
        <v>155</v>
      </c>
      <c r="M59" s="7"/>
      <c r="N59" s="7"/>
      <c r="O59" s="7" t="s">
        <v>214</v>
      </c>
      <c r="P59" s="7" t="s">
        <v>215</v>
      </c>
      <c r="Q59" s="7" t="s">
        <v>158</v>
      </c>
      <c r="R59" s="7" t="s">
        <v>159</v>
      </c>
      <c r="S59" s="7" t="s">
        <v>160</v>
      </c>
      <c r="T59" s="7" t="s">
        <v>161</v>
      </c>
      <c r="U59" s="7"/>
      <c r="V59" s="7" t="s">
        <v>162</v>
      </c>
      <c r="W59" s="7" t="s">
        <v>163</v>
      </c>
      <c r="X59" s="7" t="s">
        <v>164</v>
      </c>
      <c r="Y59" s="7" t="s">
        <v>187</v>
      </c>
      <c r="Z59" s="7" t="s">
        <v>188</v>
      </c>
      <c r="AA59" s="7" t="s">
        <v>167</v>
      </c>
      <c r="AB59" s="7" t="s">
        <v>168</v>
      </c>
      <c r="AC59" s="7" t="s">
        <v>216</v>
      </c>
      <c r="AD59" s="7"/>
      <c r="AE59" s="7"/>
      <c r="AF59" s="7"/>
      <c r="AG59" s="7"/>
      <c r="AH59" s="7"/>
      <c r="AI59" s="7" t="s">
        <v>170</v>
      </c>
      <c r="AJ59" s="7" t="s">
        <v>171</v>
      </c>
      <c r="AK59" s="7" t="s">
        <v>172</v>
      </c>
      <c r="AL59" s="7"/>
      <c r="AM59" s="10">
        <v>2025</v>
      </c>
      <c r="AN59" s="10">
        <v>1</v>
      </c>
      <c r="AO59" s="9">
        <v>45688</v>
      </c>
      <c r="AP59" s="9">
        <v>45688</v>
      </c>
      <c r="AQ59" s="9">
        <v>45688</v>
      </c>
      <c r="AR59" s="7" t="s">
        <v>173</v>
      </c>
      <c r="AS59" s="7"/>
      <c r="AT59" s="7" t="s">
        <v>174</v>
      </c>
      <c r="AU59" s="7" t="s">
        <v>175</v>
      </c>
      <c r="AV59" s="7"/>
      <c r="AW59" s="7"/>
      <c r="AX59" s="7"/>
      <c r="AY59" s="7" t="s">
        <v>181</v>
      </c>
      <c r="AZ59" s="7" t="s">
        <v>214</v>
      </c>
      <c r="BA59" s="7" t="s">
        <v>9</v>
      </c>
      <c r="BB59" s="12">
        <v>102336</v>
      </c>
      <c r="BC59" s="7" t="s">
        <v>12</v>
      </c>
      <c r="BD59" s="13">
        <v>1.54</v>
      </c>
      <c r="BE59" s="12">
        <v>157597.44</v>
      </c>
      <c r="BF59" s="7" t="s">
        <v>178</v>
      </c>
      <c r="BG59" s="13">
        <v>2.85</v>
      </c>
      <c r="BH59" s="12">
        <v>449152.71</v>
      </c>
      <c r="BI59" s="7"/>
      <c r="BJ59" s="13"/>
      <c r="BK59" s="12"/>
    </row>
    <row r="60" spans="1:63" x14ac:dyDescent="0.35">
      <c r="A60" s="7" t="s">
        <v>151</v>
      </c>
      <c r="B60" s="7" t="s">
        <v>152</v>
      </c>
      <c r="C60" s="7" t="s">
        <v>153</v>
      </c>
      <c r="D60" s="7"/>
      <c r="E60" s="7"/>
      <c r="F60" s="7" t="s">
        <v>154</v>
      </c>
      <c r="G60" s="7"/>
      <c r="H60" s="7"/>
      <c r="I60" s="7"/>
      <c r="J60" s="7"/>
      <c r="K60" s="7"/>
      <c r="L60" s="7" t="s">
        <v>155</v>
      </c>
      <c r="M60" s="7"/>
      <c r="N60" s="7"/>
      <c r="O60" s="7" t="s">
        <v>214</v>
      </c>
      <c r="P60" s="7" t="s">
        <v>215</v>
      </c>
      <c r="Q60" s="7" t="s">
        <v>158</v>
      </c>
      <c r="R60" s="7" t="s">
        <v>159</v>
      </c>
      <c r="S60" s="7" t="s">
        <v>160</v>
      </c>
      <c r="T60" s="7" t="s">
        <v>161</v>
      </c>
      <c r="U60" s="7"/>
      <c r="V60" s="7" t="s">
        <v>162</v>
      </c>
      <c r="W60" s="7" t="s">
        <v>163</v>
      </c>
      <c r="X60" s="7" t="s">
        <v>164</v>
      </c>
      <c r="Y60" s="7" t="s">
        <v>165</v>
      </c>
      <c r="Z60" s="7" t="s">
        <v>166</v>
      </c>
      <c r="AA60" s="7" t="s">
        <v>167</v>
      </c>
      <c r="AB60" s="7" t="s">
        <v>168</v>
      </c>
      <c r="AC60" s="7" t="s">
        <v>221</v>
      </c>
      <c r="AD60" s="7"/>
      <c r="AE60" s="7"/>
      <c r="AF60" s="7"/>
      <c r="AG60" s="7"/>
      <c r="AH60" s="7"/>
      <c r="AI60" s="7" t="s">
        <v>170</v>
      </c>
      <c r="AJ60" s="7" t="s">
        <v>171</v>
      </c>
      <c r="AK60" s="7" t="s">
        <v>172</v>
      </c>
      <c r="AL60" s="7"/>
      <c r="AM60" s="10">
        <v>2025</v>
      </c>
      <c r="AN60" s="10">
        <v>1</v>
      </c>
      <c r="AO60" s="9">
        <v>45688</v>
      </c>
      <c r="AP60" s="9">
        <v>45688</v>
      </c>
      <c r="AQ60" s="9">
        <v>45688</v>
      </c>
      <c r="AR60" s="7" t="s">
        <v>173</v>
      </c>
      <c r="AS60" s="7"/>
      <c r="AT60" s="7" t="s">
        <v>211</v>
      </c>
      <c r="AU60" s="7" t="s">
        <v>212</v>
      </c>
      <c r="AV60" s="7"/>
      <c r="AW60" s="7"/>
      <c r="AX60" s="7"/>
      <c r="AY60" s="7" t="s">
        <v>176</v>
      </c>
      <c r="AZ60" s="7" t="s">
        <v>214</v>
      </c>
      <c r="BA60" s="7" t="s">
        <v>9</v>
      </c>
      <c r="BB60" s="12">
        <v>-181.81</v>
      </c>
      <c r="BC60" s="7" t="s">
        <v>12</v>
      </c>
      <c r="BD60" s="13">
        <v>1.54</v>
      </c>
      <c r="BE60" s="12">
        <v>-279.99</v>
      </c>
      <c r="BF60" s="7" t="s">
        <v>178</v>
      </c>
      <c r="BG60" s="13">
        <v>2.85</v>
      </c>
      <c r="BH60" s="12">
        <v>-797.97</v>
      </c>
      <c r="BI60" s="7"/>
      <c r="BJ60" s="13"/>
      <c r="BK60" s="12"/>
    </row>
    <row r="61" spans="1:63" x14ac:dyDescent="0.35">
      <c r="A61" s="7" t="s">
        <v>151</v>
      </c>
      <c r="B61" s="7" t="s">
        <v>152</v>
      </c>
      <c r="C61" s="7" t="s">
        <v>153</v>
      </c>
      <c r="D61" s="7"/>
      <c r="E61" s="7" t="s">
        <v>162</v>
      </c>
      <c r="F61" s="7" t="s">
        <v>154</v>
      </c>
      <c r="G61" s="7"/>
      <c r="H61" s="7"/>
      <c r="I61" s="7"/>
      <c r="J61" s="7"/>
      <c r="K61" s="7"/>
      <c r="L61" s="7" t="s">
        <v>155</v>
      </c>
      <c r="M61" s="7"/>
      <c r="N61" s="7"/>
      <c r="O61" s="7" t="s">
        <v>214</v>
      </c>
      <c r="P61" s="7" t="s">
        <v>215</v>
      </c>
      <c r="Q61" s="7" t="s">
        <v>158</v>
      </c>
      <c r="R61" s="7" t="s">
        <v>159</v>
      </c>
      <c r="S61" s="7" t="s">
        <v>160</v>
      </c>
      <c r="T61" s="7" t="s">
        <v>161</v>
      </c>
      <c r="U61" s="7"/>
      <c r="V61" s="7" t="s">
        <v>162</v>
      </c>
      <c r="W61" s="7" t="s">
        <v>163</v>
      </c>
      <c r="X61" s="7" t="s">
        <v>164</v>
      </c>
      <c r="Y61" s="7" t="s">
        <v>165</v>
      </c>
      <c r="Z61" s="7" t="s">
        <v>166</v>
      </c>
      <c r="AA61" s="7" t="s">
        <v>167</v>
      </c>
      <c r="AB61" s="7" t="s">
        <v>168</v>
      </c>
      <c r="AC61" s="7" t="s">
        <v>221</v>
      </c>
      <c r="AD61" s="7"/>
      <c r="AE61" s="7"/>
      <c r="AF61" s="7"/>
      <c r="AG61" s="7"/>
      <c r="AH61" s="7"/>
      <c r="AI61" s="7" t="s">
        <v>170</v>
      </c>
      <c r="AJ61" s="7" t="s">
        <v>171</v>
      </c>
      <c r="AK61" s="7" t="s">
        <v>172</v>
      </c>
      <c r="AL61" s="7"/>
      <c r="AM61" s="10">
        <v>2025</v>
      </c>
      <c r="AN61" s="10">
        <v>1</v>
      </c>
      <c r="AO61" s="9">
        <v>45688</v>
      </c>
      <c r="AP61" s="9">
        <v>45688</v>
      </c>
      <c r="AQ61" s="9">
        <v>45688</v>
      </c>
      <c r="AR61" s="7" t="s">
        <v>173</v>
      </c>
      <c r="AS61" s="7"/>
      <c r="AT61" s="7" t="s">
        <v>217</v>
      </c>
      <c r="AU61" s="7" t="s">
        <v>218</v>
      </c>
      <c r="AV61" s="7"/>
      <c r="AW61" s="7"/>
      <c r="AX61" s="7"/>
      <c r="AY61" s="7" t="s">
        <v>181</v>
      </c>
      <c r="AZ61" s="7" t="s">
        <v>214</v>
      </c>
      <c r="BA61" s="7" t="s">
        <v>9</v>
      </c>
      <c r="BB61" s="12">
        <v>181.81</v>
      </c>
      <c r="BC61" s="7" t="s">
        <v>12</v>
      </c>
      <c r="BD61" s="13">
        <v>1.54</v>
      </c>
      <c r="BE61" s="12">
        <v>279.99</v>
      </c>
      <c r="BF61" s="7" t="s">
        <v>178</v>
      </c>
      <c r="BG61" s="13">
        <v>2.85</v>
      </c>
      <c r="BH61" s="12">
        <v>797.97</v>
      </c>
      <c r="BI61" s="7"/>
      <c r="BJ61" s="13"/>
      <c r="BK61" s="12"/>
    </row>
    <row r="62" spans="1:63" x14ac:dyDescent="0.35">
      <c r="A62" s="7" t="s">
        <v>151</v>
      </c>
      <c r="B62" s="7" t="s">
        <v>152</v>
      </c>
      <c r="C62" s="7" t="s">
        <v>153</v>
      </c>
      <c r="D62" s="7"/>
      <c r="E62" s="7"/>
      <c r="F62" s="7" t="s">
        <v>154</v>
      </c>
      <c r="G62" s="7"/>
      <c r="H62" s="7"/>
      <c r="I62" s="7"/>
      <c r="J62" s="7"/>
      <c r="K62" s="7"/>
      <c r="L62" s="7" t="s">
        <v>155</v>
      </c>
      <c r="M62" s="7"/>
      <c r="N62" s="7"/>
      <c r="O62" s="7" t="s">
        <v>214</v>
      </c>
      <c r="P62" s="7" t="s">
        <v>215</v>
      </c>
      <c r="Q62" s="7" t="s">
        <v>158</v>
      </c>
      <c r="R62" s="7" t="s">
        <v>159</v>
      </c>
      <c r="S62" s="7" t="s">
        <v>160</v>
      </c>
      <c r="T62" s="7" t="s">
        <v>161</v>
      </c>
      <c r="U62" s="7"/>
      <c r="V62" s="7" t="s">
        <v>162</v>
      </c>
      <c r="W62" s="7" t="s">
        <v>163</v>
      </c>
      <c r="X62" s="7" t="s">
        <v>164</v>
      </c>
      <c r="Y62" s="7" t="s">
        <v>165</v>
      </c>
      <c r="Z62" s="7" t="s">
        <v>166</v>
      </c>
      <c r="AA62" s="7" t="s">
        <v>167</v>
      </c>
      <c r="AB62" s="7" t="s">
        <v>168</v>
      </c>
      <c r="AC62" s="7" t="s">
        <v>221</v>
      </c>
      <c r="AD62" s="7"/>
      <c r="AE62" s="7"/>
      <c r="AF62" s="7"/>
      <c r="AG62" s="7"/>
      <c r="AH62" s="7"/>
      <c r="AI62" s="7" t="s">
        <v>170</v>
      </c>
      <c r="AJ62" s="7" t="s">
        <v>171</v>
      </c>
      <c r="AK62" s="7" t="s">
        <v>172</v>
      </c>
      <c r="AL62" s="7"/>
      <c r="AM62" s="10">
        <v>2025</v>
      </c>
      <c r="AN62" s="10">
        <v>1</v>
      </c>
      <c r="AO62" s="9">
        <v>45688</v>
      </c>
      <c r="AP62" s="9">
        <v>45688</v>
      </c>
      <c r="AQ62" s="9">
        <v>45688</v>
      </c>
      <c r="AR62" s="7" t="s">
        <v>173</v>
      </c>
      <c r="AS62" s="7"/>
      <c r="AT62" s="7" t="s">
        <v>199</v>
      </c>
      <c r="AU62" s="7" t="s">
        <v>200</v>
      </c>
      <c r="AV62" s="7"/>
      <c r="AW62" s="7"/>
      <c r="AX62" s="7"/>
      <c r="AY62" s="7" t="s">
        <v>176</v>
      </c>
      <c r="AZ62" s="7" t="s">
        <v>214</v>
      </c>
      <c r="BA62" s="7" t="s">
        <v>9</v>
      </c>
      <c r="BB62" s="12">
        <v>-900</v>
      </c>
      <c r="BC62" s="7" t="s">
        <v>12</v>
      </c>
      <c r="BD62" s="13">
        <v>1.54</v>
      </c>
      <c r="BE62" s="12">
        <v>-1386</v>
      </c>
      <c r="BF62" s="7" t="s">
        <v>178</v>
      </c>
      <c r="BG62" s="13">
        <v>2.85</v>
      </c>
      <c r="BH62" s="12">
        <v>-3950.1</v>
      </c>
      <c r="BI62" s="7"/>
      <c r="BJ62" s="13"/>
      <c r="BK62" s="12"/>
    </row>
    <row r="63" spans="1:63" x14ac:dyDescent="0.35">
      <c r="A63" s="7" t="s">
        <v>151</v>
      </c>
      <c r="B63" s="7" t="s">
        <v>152</v>
      </c>
      <c r="C63" s="7" t="s">
        <v>153</v>
      </c>
      <c r="D63" s="7"/>
      <c r="E63" s="7" t="s">
        <v>162</v>
      </c>
      <c r="F63" s="7" t="s">
        <v>154</v>
      </c>
      <c r="G63" s="7"/>
      <c r="H63" s="7"/>
      <c r="I63" s="7"/>
      <c r="J63" s="7"/>
      <c r="K63" s="7"/>
      <c r="L63" s="7" t="s">
        <v>155</v>
      </c>
      <c r="M63" s="7"/>
      <c r="N63" s="7"/>
      <c r="O63" s="7" t="s">
        <v>214</v>
      </c>
      <c r="P63" s="7" t="s">
        <v>215</v>
      </c>
      <c r="Q63" s="7" t="s">
        <v>158</v>
      </c>
      <c r="R63" s="7" t="s">
        <v>159</v>
      </c>
      <c r="S63" s="7" t="s">
        <v>160</v>
      </c>
      <c r="T63" s="7" t="s">
        <v>161</v>
      </c>
      <c r="U63" s="7"/>
      <c r="V63" s="7" t="s">
        <v>162</v>
      </c>
      <c r="W63" s="7" t="s">
        <v>163</v>
      </c>
      <c r="X63" s="7" t="s">
        <v>164</v>
      </c>
      <c r="Y63" s="7" t="s">
        <v>165</v>
      </c>
      <c r="Z63" s="7" t="s">
        <v>166</v>
      </c>
      <c r="AA63" s="7" t="s">
        <v>167</v>
      </c>
      <c r="AB63" s="7" t="s">
        <v>168</v>
      </c>
      <c r="AC63" s="7" t="s">
        <v>221</v>
      </c>
      <c r="AD63" s="7"/>
      <c r="AE63" s="7"/>
      <c r="AF63" s="7"/>
      <c r="AG63" s="7"/>
      <c r="AH63" s="7"/>
      <c r="AI63" s="7" t="s">
        <v>170</v>
      </c>
      <c r="AJ63" s="7" t="s">
        <v>171</v>
      </c>
      <c r="AK63" s="7" t="s">
        <v>172</v>
      </c>
      <c r="AL63" s="7"/>
      <c r="AM63" s="10">
        <v>2025</v>
      </c>
      <c r="AN63" s="10">
        <v>1</v>
      </c>
      <c r="AO63" s="9">
        <v>45688</v>
      </c>
      <c r="AP63" s="9">
        <v>45688</v>
      </c>
      <c r="AQ63" s="9">
        <v>45688</v>
      </c>
      <c r="AR63" s="7" t="s">
        <v>173</v>
      </c>
      <c r="AS63" s="7"/>
      <c r="AT63" s="7" t="s">
        <v>219</v>
      </c>
      <c r="AU63" s="7" t="s">
        <v>220</v>
      </c>
      <c r="AV63" s="7"/>
      <c r="AW63" s="7"/>
      <c r="AX63" s="7"/>
      <c r="AY63" s="7" t="s">
        <v>181</v>
      </c>
      <c r="AZ63" s="7" t="s">
        <v>214</v>
      </c>
      <c r="BA63" s="7" t="s">
        <v>9</v>
      </c>
      <c r="BB63" s="12">
        <v>900</v>
      </c>
      <c r="BC63" s="7" t="s">
        <v>12</v>
      </c>
      <c r="BD63" s="13">
        <v>1.54</v>
      </c>
      <c r="BE63" s="12">
        <v>1386</v>
      </c>
      <c r="BF63" s="7" t="s">
        <v>178</v>
      </c>
      <c r="BG63" s="13">
        <v>2.85</v>
      </c>
      <c r="BH63" s="12">
        <v>3950.1</v>
      </c>
      <c r="BI63" s="7"/>
      <c r="BJ63" s="13"/>
      <c r="BK63" s="12"/>
    </row>
    <row r="64" spans="1:63" x14ac:dyDescent="0.35">
      <c r="A64" s="7" t="s">
        <v>151</v>
      </c>
      <c r="B64" s="7" t="s">
        <v>152</v>
      </c>
      <c r="C64" s="7" t="s">
        <v>153</v>
      </c>
      <c r="D64" s="7"/>
      <c r="E64" s="7" t="s">
        <v>162</v>
      </c>
      <c r="F64" s="7" t="s">
        <v>154</v>
      </c>
      <c r="G64" s="7"/>
      <c r="H64" s="7"/>
      <c r="I64" s="7"/>
      <c r="J64" s="7"/>
      <c r="K64" s="7"/>
      <c r="L64" s="7" t="s">
        <v>155</v>
      </c>
      <c r="M64" s="7"/>
      <c r="N64" s="7"/>
      <c r="O64" s="7" t="s">
        <v>214</v>
      </c>
      <c r="P64" s="7" t="s">
        <v>215</v>
      </c>
      <c r="Q64" s="7" t="s">
        <v>158</v>
      </c>
      <c r="R64" s="7" t="s">
        <v>159</v>
      </c>
      <c r="S64" s="7" t="s">
        <v>160</v>
      </c>
      <c r="T64" s="7" t="s">
        <v>161</v>
      </c>
      <c r="U64" s="7"/>
      <c r="V64" s="7" t="s">
        <v>162</v>
      </c>
      <c r="W64" s="7" t="s">
        <v>163</v>
      </c>
      <c r="X64" s="7" t="s">
        <v>164</v>
      </c>
      <c r="Y64" s="7" t="s">
        <v>165</v>
      </c>
      <c r="Z64" s="7" t="s">
        <v>166</v>
      </c>
      <c r="AA64" s="7" t="s">
        <v>167</v>
      </c>
      <c r="AB64" s="7" t="s">
        <v>168</v>
      </c>
      <c r="AC64" s="7" t="s">
        <v>221</v>
      </c>
      <c r="AD64" s="7"/>
      <c r="AE64" s="7"/>
      <c r="AF64" s="7"/>
      <c r="AG64" s="7"/>
      <c r="AH64" s="7"/>
      <c r="AI64" s="7" t="s">
        <v>170</v>
      </c>
      <c r="AJ64" s="7" t="s">
        <v>171</v>
      </c>
      <c r="AK64" s="7" t="s">
        <v>172</v>
      </c>
      <c r="AL64" s="7"/>
      <c r="AM64" s="10">
        <v>2025</v>
      </c>
      <c r="AN64" s="10">
        <v>1</v>
      </c>
      <c r="AO64" s="9">
        <v>45688</v>
      </c>
      <c r="AP64" s="9">
        <v>45688</v>
      </c>
      <c r="AQ64" s="9">
        <v>45688</v>
      </c>
      <c r="AR64" s="7" t="s">
        <v>173</v>
      </c>
      <c r="AS64" s="7"/>
      <c r="AT64" s="7" t="s">
        <v>197</v>
      </c>
      <c r="AU64" s="7" t="s">
        <v>198</v>
      </c>
      <c r="AV64" s="7"/>
      <c r="AW64" s="7"/>
      <c r="AX64" s="7"/>
      <c r="AY64" s="7" t="s">
        <v>176</v>
      </c>
      <c r="AZ64" s="7" t="s">
        <v>214</v>
      </c>
      <c r="BA64" s="7" t="s">
        <v>9</v>
      </c>
      <c r="BB64" s="12">
        <v>-102336</v>
      </c>
      <c r="BC64" s="7" t="s">
        <v>12</v>
      </c>
      <c r="BD64" s="13">
        <v>1.54</v>
      </c>
      <c r="BE64" s="12">
        <v>-157597.44</v>
      </c>
      <c r="BF64" s="7" t="s">
        <v>178</v>
      </c>
      <c r="BG64" s="13">
        <v>2.85</v>
      </c>
      <c r="BH64" s="12">
        <v>-449152.71</v>
      </c>
      <c r="BI64" s="7"/>
      <c r="BJ64" s="13"/>
      <c r="BK64" s="12"/>
    </row>
    <row r="65" spans="1:63" x14ac:dyDescent="0.35">
      <c r="A65" s="7" t="s">
        <v>151</v>
      </c>
      <c r="B65" s="7" t="s">
        <v>152</v>
      </c>
      <c r="C65" s="7" t="s">
        <v>153</v>
      </c>
      <c r="D65" s="7"/>
      <c r="E65" s="7"/>
      <c r="F65" s="7" t="s">
        <v>154</v>
      </c>
      <c r="G65" s="7"/>
      <c r="H65" s="7"/>
      <c r="I65" s="7"/>
      <c r="J65" s="7"/>
      <c r="K65" s="7"/>
      <c r="L65" s="7" t="s">
        <v>155</v>
      </c>
      <c r="M65" s="7"/>
      <c r="N65" s="7"/>
      <c r="O65" s="7" t="s">
        <v>214</v>
      </c>
      <c r="P65" s="7" t="s">
        <v>215</v>
      </c>
      <c r="Q65" s="7" t="s">
        <v>158</v>
      </c>
      <c r="R65" s="7" t="s">
        <v>159</v>
      </c>
      <c r="S65" s="7" t="s">
        <v>160</v>
      </c>
      <c r="T65" s="7" t="s">
        <v>161</v>
      </c>
      <c r="U65" s="7"/>
      <c r="V65" s="7" t="s">
        <v>162</v>
      </c>
      <c r="W65" s="7" t="s">
        <v>163</v>
      </c>
      <c r="X65" s="7" t="s">
        <v>164</v>
      </c>
      <c r="Y65" s="7" t="s">
        <v>165</v>
      </c>
      <c r="Z65" s="7" t="s">
        <v>166</v>
      </c>
      <c r="AA65" s="7" t="s">
        <v>167</v>
      </c>
      <c r="AB65" s="7" t="s">
        <v>168</v>
      </c>
      <c r="AC65" s="7" t="s">
        <v>221</v>
      </c>
      <c r="AD65" s="7"/>
      <c r="AE65" s="7"/>
      <c r="AF65" s="7"/>
      <c r="AG65" s="7"/>
      <c r="AH65" s="7"/>
      <c r="AI65" s="7" t="s">
        <v>170</v>
      </c>
      <c r="AJ65" s="7" t="s">
        <v>171</v>
      </c>
      <c r="AK65" s="7" t="s">
        <v>172</v>
      </c>
      <c r="AL65" s="7"/>
      <c r="AM65" s="10">
        <v>2025</v>
      </c>
      <c r="AN65" s="10">
        <v>1</v>
      </c>
      <c r="AO65" s="9">
        <v>45688</v>
      </c>
      <c r="AP65" s="9">
        <v>45688</v>
      </c>
      <c r="AQ65" s="9">
        <v>45688</v>
      </c>
      <c r="AR65" s="7" t="s">
        <v>173</v>
      </c>
      <c r="AS65" s="7"/>
      <c r="AT65" s="7" t="s">
        <v>174</v>
      </c>
      <c r="AU65" s="7" t="s">
        <v>175</v>
      </c>
      <c r="AV65" s="7"/>
      <c r="AW65" s="7"/>
      <c r="AX65" s="7"/>
      <c r="AY65" s="7" t="s">
        <v>181</v>
      </c>
      <c r="AZ65" s="7" t="s">
        <v>214</v>
      </c>
      <c r="BA65" s="7" t="s">
        <v>9</v>
      </c>
      <c r="BB65" s="12">
        <v>102336</v>
      </c>
      <c r="BC65" s="7" t="s">
        <v>12</v>
      </c>
      <c r="BD65" s="13">
        <v>1.54</v>
      </c>
      <c r="BE65" s="12">
        <v>157597.44</v>
      </c>
      <c r="BF65" s="7" t="s">
        <v>178</v>
      </c>
      <c r="BG65" s="13">
        <v>2.85</v>
      </c>
      <c r="BH65" s="12">
        <v>449152.71</v>
      </c>
      <c r="BI65" s="7"/>
      <c r="BJ65" s="13"/>
      <c r="BK65" s="12"/>
    </row>
    <row r="66" spans="1:63" x14ac:dyDescent="0.35">
      <c r="A66" s="7" t="s">
        <v>151</v>
      </c>
      <c r="B66" s="7" t="s">
        <v>152</v>
      </c>
      <c r="C66" s="7" t="s">
        <v>153</v>
      </c>
      <c r="D66" s="7"/>
      <c r="E66" s="7"/>
      <c r="F66" s="7" t="s">
        <v>154</v>
      </c>
      <c r="G66" s="7"/>
      <c r="H66" s="7"/>
      <c r="I66" s="7"/>
      <c r="J66" s="7"/>
      <c r="K66" s="7"/>
      <c r="L66" s="7" t="s">
        <v>155</v>
      </c>
      <c r="M66" s="7"/>
      <c r="N66" s="7"/>
      <c r="O66" s="7" t="s">
        <v>222</v>
      </c>
      <c r="P66" s="7" t="s">
        <v>223</v>
      </c>
      <c r="Q66" s="7" t="s">
        <v>158</v>
      </c>
      <c r="R66" s="7" t="s">
        <v>159</v>
      </c>
      <c r="S66" s="7" t="s">
        <v>160</v>
      </c>
      <c r="T66" s="7" t="s">
        <v>161</v>
      </c>
      <c r="U66" s="7"/>
      <c r="V66" s="7" t="s">
        <v>162</v>
      </c>
      <c r="W66" s="7" t="s">
        <v>163</v>
      </c>
      <c r="X66" s="7" t="s">
        <v>164</v>
      </c>
      <c r="Y66" s="7" t="s">
        <v>165</v>
      </c>
      <c r="Z66" s="7" t="s">
        <v>166</v>
      </c>
      <c r="AA66" s="7" t="s">
        <v>167</v>
      </c>
      <c r="AB66" s="7" t="s">
        <v>168</v>
      </c>
      <c r="AC66" s="7" t="s">
        <v>224</v>
      </c>
      <c r="AD66" s="7"/>
      <c r="AE66" s="7"/>
      <c r="AF66" s="7"/>
      <c r="AG66" s="7"/>
      <c r="AH66" s="7"/>
      <c r="AI66" s="7" t="s">
        <v>170</v>
      </c>
      <c r="AJ66" s="7" t="s">
        <v>171</v>
      </c>
      <c r="AK66" s="7" t="s">
        <v>172</v>
      </c>
      <c r="AL66" s="7"/>
      <c r="AM66" s="10">
        <v>2025</v>
      </c>
      <c r="AN66" s="10">
        <v>1</v>
      </c>
      <c r="AO66" s="9">
        <v>45688</v>
      </c>
      <c r="AP66" s="9">
        <v>45688</v>
      </c>
      <c r="AQ66" s="9">
        <v>45688</v>
      </c>
      <c r="AR66" s="7" t="s">
        <v>173</v>
      </c>
      <c r="AS66" s="7" t="s">
        <v>225</v>
      </c>
      <c r="AT66" s="7" t="s">
        <v>226</v>
      </c>
      <c r="AU66" s="7" t="s">
        <v>265</v>
      </c>
      <c r="AV66" s="7"/>
      <c r="AW66" s="7"/>
      <c r="AX66" s="7"/>
      <c r="AY66" s="7" t="s">
        <v>176</v>
      </c>
      <c r="AZ66" s="7" t="s">
        <v>222</v>
      </c>
      <c r="BA66" s="7" t="s">
        <v>9</v>
      </c>
      <c r="BB66" s="12">
        <v>-7908.76</v>
      </c>
      <c r="BC66" s="7" t="s">
        <v>12</v>
      </c>
      <c r="BD66" s="13">
        <v>1.54</v>
      </c>
      <c r="BE66" s="12">
        <v>-12179.49</v>
      </c>
      <c r="BF66" s="7" t="s">
        <v>178</v>
      </c>
      <c r="BG66" s="13">
        <v>2.85</v>
      </c>
      <c r="BH66" s="12">
        <v>-34711.56</v>
      </c>
      <c r="BI66" s="7"/>
      <c r="BJ66" s="13"/>
      <c r="BK66" s="12"/>
    </row>
    <row r="67" spans="1:63" x14ac:dyDescent="0.35">
      <c r="A67" s="7" t="s">
        <v>151</v>
      </c>
      <c r="B67" s="7" t="s">
        <v>152</v>
      </c>
      <c r="C67" s="7" t="s">
        <v>153</v>
      </c>
      <c r="D67" s="7"/>
      <c r="E67" s="7" t="s">
        <v>162</v>
      </c>
      <c r="F67" s="7" t="s">
        <v>154</v>
      </c>
      <c r="G67" s="7"/>
      <c r="H67" s="7"/>
      <c r="I67" s="7"/>
      <c r="J67" s="7"/>
      <c r="K67" s="7"/>
      <c r="L67" s="7" t="s">
        <v>155</v>
      </c>
      <c r="M67" s="7"/>
      <c r="N67" s="7"/>
      <c r="O67" s="7" t="s">
        <v>222</v>
      </c>
      <c r="P67" s="7" t="s">
        <v>223</v>
      </c>
      <c r="Q67" s="7" t="s">
        <v>158</v>
      </c>
      <c r="R67" s="7" t="s">
        <v>159</v>
      </c>
      <c r="S67" s="7" t="s">
        <v>160</v>
      </c>
      <c r="T67" s="7" t="s">
        <v>161</v>
      </c>
      <c r="U67" s="7"/>
      <c r="V67" s="7" t="s">
        <v>162</v>
      </c>
      <c r="W67" s="7" t="s">
        <v>163</v>
      </c>
      <c r="X67" s="7" t="s">
        <v>164</v>
      </c>
      <c r="Y67" s="7" t="s">
        <v>165</v>
      </c>
      <c r="Z67" s="7" t="s">
        <v>166</v>
      </c>
      <c r="AA67" s="7" t="s">
        <v>167</v>
      </c>
      <c r="AB67" s="7" t="s">
        <v>168</v>
      </c>
      <c r="AC67" s="7" t="s">
        <v>224</v>
      </c>
      <c r="AD67" s="7"/>
      <c r="AE67" s="7"/>
      <c r="AF67" s="7"/>
      <c r="AG67" s="7"/>
      <c r="AH67" s="7"/>
      <c r="AI67" s="7" t="s">
        <v>170</v>
      </c>
      <c r="AJ67" s="7" t="s">
        <v>171</v>
      </c>
      <c r="AK67" s="7" t="s">
        <v>172</v>
      </c>
      <c r="AL67" s="7"/>
      <c r="AM67" s="10">
        <v>2025</v>
      </c>
      <c r="AN67" s="10">
        <v>1</v>
      </c>
      <c r="AO67" s="9">
        <v>45688</v>
      </c>
      <c r="AP67" s="9">
        <v>45688</v>
      </c>
      <c r="AQ67" s="9">
        <v>45688</v>
      </c>
      <c r="AR67" s="7" t="s">
        <v>173</v>
      </c>
      <c r="AS67" s="7" t="s">
        <v>225</v>
      </c>
      <c r="AT67" s="7" t="s">
        <v>228</v>
      </c>
      <c r="AU67" s="7" t="s">
        <v>222</v>
      </c>
      <c r="AV67" s="7"/>
      <c r="AW67" s="7"/>
      <c r="AX67" s="7"/>
      <c r="AY67" s="7" t="s">
        <v>181</v>
      </c>
      <c r="AZ67" s="7" t="s">
        <v>222</v>
      </c>
      <c r="BA67" s="7" t="s">
        <v>9</v>
      </c>
      <c r="BB67" s="12">
        <v>7908.76</v>
      </c>
      <c r="BC67" s="7" t="s">
        <v>12</v>
      </c>
      <c r="BD67" s="13">
        <v>1.54</v>
      </c>
      <c r="BE67" s="12">
        <v>12179.49</v>
      </c>
      <c r="BF67" s="7" t="s">
        <v>178</v>
      </c>
      <c r="BG67" s="13">
        <v>2.85</v>
      </c>
      <c r="BH67" s="12">
        <v>34711.56</v>
      </c>
      <c r="BI67" s="7"/>
      <c r="BJ67" s="13"/>
      <c r="BK67" s="12"/>
    </row>
    <row r="68" spans="1:63" x14ac:dyDescent="0.35">
      <c r="A68" s="7" t="s">
        <v>151</v>
      </c>
      <c r="B68" s="7" t="s">
        <v>152</v>
      </c>
      <c r="C68" s="7" t="s">
        <v>153</v>
      </c>
      <c r="D68" s="7"/>
      <c r="E68" s="7"/>
      <c r="F68" s="7" t="s">
        <v>154</v>
      </c>
      <c r="G68" s="7"/>
      <c r="H68" s="7"/>
      <c r="I68" s="7"/>
      <c r="J68" s="7"/>
      <c r="K68" s="7"/>
      <c r="L68" s="7" t="s">
        <v>155</v>
      </c>
      <c r="M68" s="7"/>
      <c r="N68" s="7"/>
      <c r="O68" s="7" t="s">
        <v>222</v>
      </c>
      <c r="P68" s="7" t="s">
        <v>223</v>
      </c>
      <c r="Q68" s="7" t="s">
        <v>158</v>
      </c>
      <c r="R68" s="7" t="s">
        <v>159</v>
      </c>
      <c r="S68" s="7" t="s">
        <v>160</v>
      </c>
      <c r="T68" s="7" t="s">
        <v>161</v>
      </c>
      <c r="U68" s="7"/>
      <c r="V68" s="7" t="s">
        <v>162</v>
      </c>
      <c r="W68" s="7" t="s">
        <v>163</v>
      </c>
      <c r="X68" s="7" t="s">
        <v>164</v>
      </c>
      <c r="Y68" s="7" t="s">
        <v>187</v>
      </c>
      <c r="Z68" s="7" t="s">
        <v>188</v>
      </c>
      <c r="AA68" s="7" t="s">
        <v>167</v>
      </c>
      <c r="AB68" s="7" t="s">
        <v>168</v>
      </c>
      <c r="AC68" s="7" t="s">
        <v>230</v>
      </c>
      <c r="AD68" s="7"/>
      <c r="AE68" s="7"/>
      <c r="AF68" s="7"/>
      <c r="AG68" s="7"/>
      <c r="AH68" s="7"/>
      <c r="AI68" s="7" t="s">
        <v>170</v>
      </c>
      <c r="AJ68" s="7" t="s">
        <v>171</v>
      </c>
      <c r="AK68" s="7" t="s">
        <v>172</v>
      </c>
      <c r="AL68" s="7"/>
      <c r="AM68" s="10">
        <v>2025</v>
      </c>
      <c r="AN68" s="10">
        <v>1</v>
      </c>
      <c r="AO68" s="9">
        <v>45688</v>
      </c>
      <c r="AP68" s="9">
        <v>45688</v>
      </c>
      <c r="AQ68" s="9">
        <v>45688</v>
      </c>
      <c r="AR68" s="7" t="s">
        <v>173</v>
      </c>
      <c r="AS68" s="7" t="s">
        <v>231</v>
      </c>
      <c r="AT68" s="7" t="s">
        <v>226</v>
      </c>
      <c r="AU68" s="7" t="s">
        <v>265</v>
      </c>
      <c r="AV68" s="7"/>
      <c r="AW68" s="7"/>
      <c r="AX68" s="7"/>
      <c r="AY68" s="7" t="s">
        <v>176</v>
      </c>
      <c r="AZ68" s="7" t="s">
        <v>222</v>
      </c>
      <c r="BA68" s="7" t="s">
        <v>9</v>
      </c>
      <c r="BB68" s="12">
        <v>-7818.19</v>
      </c>
      <c r="BC68" s="7" t="s">
        <v>12</v>
      </c>
      <c r="BD68" s="13">
        <v>1.54</v>
      </c>
      <c r="BE68" s="12">
        <v>-12040.01</v>
      </c>
      <c r="BF68" s="7" t="s">
        <v>178</v>
      </c>
      <c r="BG68" s="13">
        <v>2.85</v>
      </c>
      <c r="BH68" s="12">
        <v>-34314.03</v>
      </c>
      <c r="BI68" s="7"/>
      <c r="BJ68" s="13"/>
      <c r="BK68" s="12"/>
    </row>
    <row r="69" spans="1:63" x14ac:dyDescent="0.35">
      <c r="A69" s="7" t="s">
        <v>151</v>
      </c>
      <c r="B69" s="7" t="s">
        <v>152</v>
      </c>
      <c r="C69" s="7" t="s">
        <v>153</v>
      </c>
      <c r="D69" s="7"/>
      <c r="E69" s="7" t="s">
        <v>162</v>
      </c>
      <c r="F69" s="7" t="s">
        <v>154</v>
      </c>
      <c r="G69" s="7"/>
      <c r="H69" s="7"/>
      <c r="I69" s="7"/>
      <c r="J69" s="7"/>
      <c r="K69" s="7"/>
      <c r="L69" s="7" t="s">
        <v>155</v>
      </c>
      <c r="M69" s="7"/>
      <c r="N69" s="7"/>
      <c r="O69" s="7" t="s">
        <v>222</v>
      </c>
      <c r="P69" s="7" t="s">
        <v>223</v>
      </c>
      <c r="Q69" s="7" t="s">
        <v>158</v>
      </c>
      <c r="R69" s="7" t="s">
        <v>159</v>
      </c>
      <c r="S69" s="7" t="s">
        <v>160</v>
      </c>
      <c r="T69" s="7" t="s">
        <v>161</v>
      </c>
      <c r="U69" s="7"/>
      <c r="V69" s="7" t="s">
        <v>162</v>
      </c>
      <c r="W69" s="7" t="s">
        <v>163</v>
      </c>
      <c r="X69" s="7" t="s">
        <v>164</v>
      </c>
      <c r="Y69" s="7" t="s">
        <v>187</v>
      </c>
      <c r="Z69" s="7" t="s">
        <v>188</v>
      </c>
      <c r="AA69" s="7" t="s">
        <v>167</v>
      </c>
      <c r="AB69" s="7" t="s">
        <v>168</v>
      </c>
      <c r="AC69" s="7" t="s">
        <v>230</v>
      </c>
      <c r="AD69" s="7"/>
      <c r="AE69" s="7"/>
      <c r="AF69" s="7"/>
      <c r="AG69" s="7"/>
      <c r="AH69" s="7"/>
      <c r="AI69" s="7" t="s">
        <v>170</v>
      </c>
      <c r="AJ69" s="7" t="s">
        <v>171</v>
      </c>
      <c r="AK69" s="7" t="s">
        <v>172</v>
      </c>
      <c r="AL69" s="7"/>
      <c r="AM69" s="10">
        <v>2025</v>
      </c>
      <c r="AN69" s="10">
        <v>1</v>
      </c>
      <c r="AO69" s="9">
        <v>45688</v>
      </c>
      <c r="AP69" s="9">
        <v>45688</v>
      </c>
      <c r="AQ69" s="9">
        <v>45688</v>
      </c>
      <c r="AR69" s="7" t="s">
        <v>173</v>
      </c>
      <c r="AS69" s="7" t="s">
        <v>231</v>
      </c>
      <c r="AT69" s="7" t="s">
        <v>228</v>
      </c>
      <c r="AU69" s="7" t="s">
        <v>222</v>
      </c>
      <c r="AV69" s="7"/>
      <c r="AW69" s="7"/>
      <c r="AX69" s="7"/>
      <c r="AY69" s="7" t="s">
        <v>181</v>
      </c>
      <c r="AZ69" s="7" t="s">
        <v>222</v>
      </c>
      <c r="BA69" s="7" t="s">
        <v>9</v>
      </c>
      <c r="BB69" s="12">
        <v>7818.19</v>
      </c>
      <c r="BC69" s="7" t="s">
        <v>12</v>
      </c>
      <c r="BD69" s="13">
        <v>1.54</v>
      </c>
      <c r="BE69" s="12">
        <v>12040.01</v>
      </c>
      <c r="BF69" s="7" t="s">
        <v>178</v>
      </c>
      <c r="BG69" s="13">
        <v>2.85</v>
      </c>
      <c r="BH69" s="12">
        <v>34314.03</v>
      </c>
      <c r="BI69" s="7"/>
      <c r="BJ69" s="13"/>
      <c r="BK69" s="12"/>
    </row>
    <row r="70" spans="1:63" x14ac:dyDescent="0.35">
      <c r="A70" s="7" t="s">
        <v>151</v>
      </c>
      <c r="B70" s="7" t="s">
        <v>152</v>
      </c>
      <c r="C70" s="7" t="s">
        <v>153</v>
      </c>
      <c r="D70" s="7"/>
      <c r="E70" s="7"/>
      <c r="F70" s="7" t="s">
        <v>203</v>
      </c>
      <c r="G70" s="7"/>
      <c r="H70" s="7"/>
      <c r="I70" s="7"/>
      <c r="J70" s="7"/>
      <c r="K70" s="7"/>
      <c r="L70" s="7" t="s">
        <v>155</v>
      </c>
      <c r="M70" s="7"/>
      <c r="N70" s="7"/>
      <c r="O70" s="7" t="s">
        <v>214</v>
      </c>
      <c r="P70" s="7" t="s">
        <v>215</v>
      </c>
      <c r="Q70" s="7" t="s">
        <v>204</v>
      </c>
      <c r="R70" s="7" t="s">
        <v>205</v>
      </c>
      <c r="S70" s="7" t="s">
        <v>206</v>
      </c>
      <c r="T70" s="7" t="s">
        <v>207</v>
      </c>
      <c r="U70" s="7"/>
      <c r="V70" s="7" t="s">
        <v>208</v>
      </c>
      <c r="W70" s="7" t="s">
        <v>163</v>
      </c>
      <c r="X70" s="7" t="s">
        <v>164</v>
      </c>
      <c r="Y70" s="7" t="s">
        <v>187</v>
      </c>
      <c r="Z70" s="7" t="s">
        <v>188</v>
      </c>
      <c r="AA70" s="7" t="s">
        <v>167</v>
      </c>
      <c r="AB70" s="7" t="s">
        <v>209</v>
      </c>
      <c r="AC70" s="7" t="s">
        <v>232</v>
      </c>
      <c r="AD70" s="7"/>
      <c r="AE70" s="7"/>
      <c r="AF70" s="7"/>
      <c r="AG70" s="7"/>
      <c r="AH70" s="7"/>
      <c r="AI70" s="7" t="s">
        <v>170</v>
      </c>
      <c r="AJ70" s="7" t="s">
        <v>171</v>
      </c>
      <c r="AK70" s="7" t="s">
        <v>172</v>
      </c>
      <c r="AL70" s="7"/>
      <c r="AM70" s="10">
        <v>2025</v>
      </c>
      <c r="AN70" s="10">
        <v>1</v>
      </c>
      <c r="AO70" s="9">
        <v>45688</v>
      </c>
      <c r="AP70" s="9">
        <v>45688</v>
      </c>
      <c r="AQ70" s="9">
        <v>45688</v>
      </c>
      <c r="AR70" s="7" t="s">
        <v>173</v>
      </c>
      <c r="AS70" s="7"/>
      <c r="AT70" s="7" t="s">
        <v>211</v>
      </c>
      <c r="AU70" s="7" t="s">
        <v>212</v>
      </c>
      <c r="AV70" s="7"/>
      <c r="AW70" s="7"/>
      <c r="AX70" s="7"/>
      <c r="AY70" s="7" t="s">
        <v>176</v>
      </c>
      <c r="AZ70" s="7" t="s">
        <v>214</v>
      </c>
      <c r="BA70" s="7" t="s">
        <v>178</v>
      </c>
      <c r="BB70" s="12">
        <v>-147.72</v>
      </c>
      <c r="BC70" s="7" t="s">
        <v>12</v>
      </c>
      <c r="BD70" s="13">
        <v>1.37</v>
      </c>
      <c r="BE70" s="12">
        <v>-202.38</v>
      </c>
      <c r="BF70" s="7" t="s">
        <v>178</v>
      </c>
      <c r="BG70" s="13">
        <v>2.85</v>
      </c>
      <c r="BH70" s="12">
        <v>-576.78</v>
      </c>
      <c r="BI70" s="7"/>
      <c r="BJ70" s="13"/>
      <c r="BK70" s="12"/>
    </row>
    <row r="71" spans="1:63" x14ac:dyDescent="0.35">
      <c r="A71" s="7" t="s">
        <v>151</v>
      </c>
      <c r="B71" s="7" t="s">
        <v>152</v>
      </c>
      <c r="C71" s="7" t="s">
        <v>153</v>
      </c>
      <c r="D71" s="7"/>
      <c r="E71" s="7" t="s">
        <v>208</v>
      </c>
      <c r="F71" s="7" t="s">
        <v>203</v>
      </c>
      <c r="G71" s="7"/>
      <c r="H71" s="7"/>
      <c r="I71" s="7"/>
      <c r="J71" s="7"/>
      <c r="K71" s="7"/>
      <c r="L71" s="7" t="s">
        <v>155</v>
      </c>
      <c r="M71" s="7"/>
      <c r="N71" s="7"/>
      <c r="O71" s="7" t="s">
        <v>214</v>
      </c>
      <c r="P71" s="7" t="s">
        <v>215</v>
      </c>
      <c r="Q71" s="7" t="s">
        <v>204</v>
      </c>
      <c r="R71" s="7" t="s">
        <v>205</v>
      </c>
      <c r="S71" s="7" t="s">
        <v>206</v>
      </c>
      <c r="T71" s="7" t="s">
        <v>207</v>
      </c>
      <c r="U71" s="7"/>
      <c r="V71" s="7" t="s">
        <v>208</v>
      </c>
      <c r="W71" s="7" t="s">
        <v>163</v>
      </c>
      <c r="X71" s="7" t="s">
        <v>164</v>
      </c>
      <c r="Y71" s="7" t="s">
        <v>187</v>
      </c>
      <c r="Z71" s="7" t="s">
        <v>188</v>
      </c>
      <c r="AA71" s="7" t="s">
        <v>167</v>
      </c>
      <c r="AB71" s="7" t="s">
        <v>209</v>
      </c>
      <c r="AC71" s="7" t="s">
        <v>232</v>
      </c>
      <c r="AD71" s="7"/>
      <c r="AE71" s="7"/>
      <c r="AF71" s="7"/>
      <c r="AG71" s="7"/>
      <c r="AH71" s="7"/>
      <c r="AI71" s="7" t="s">
        <v>170</v>
      </c>
      <c r="AJ71" s="7" t="s">
        <v>171</v>
      </c>
      <c r="AK71" s="7" t="s">
        <v>172</v>
      </c>
      <c r="AL71" s="7"/>
      <c r="AM71" s="10">
        <v>2025</v>
      </c>
      <c r="AN71" s="10">
        <v>1</v>
      </c>
      <c r="AO71" s="9">
        <v>45688</v>
      </c>
      <c r="AP71" s="9">
        <v>45688</v>
      </c>
      <c r="AQ71" s="9">
        <v>45688</v>
      </c>
      <c r="AR71" s="7" t="s">
        <v>173</v>
      </c>
      <c r="AS71" s="7"/>
      <c r="AT71" s="7" t="s">
        <v>217</v>
      </c>
      <c r="AU71" s="7" t="s">
        <v>218</v>
      </c>
      <c r="AV71" s="7"/>
      <c r="AW71" s="7"/>
      <c r="AX71" s="7"/>
      <c r="AY71" s="7" t="s">
        <v>181</v>
      </c>
      <c r="AZ71" s="7" t="s">
        <v>214</v>
      </c>
      <c r="BA71" s="7" t="s">
        <v>178</v>
      </c>
      <c r="BB71" s="12">
        <v>147.72</v>
      </c>
      <c r="BC71" s="7" t="s">
        <v>12</v>
      </c>
      <c r="BD71" s="13">
        <v>1.37</v>
      </c>
      <c r="BE71" s="12">
        <v>202.38</v>
      </c>
      <c r="BF71" s="7" t="s">
        <v>178</v>
      </c>
      <c r="BG71" s="13">
        <v>2.85</v>
      </c>
      <c r="BH71" s="12">
        <v>576.78</v>
      </c>
      <c r="BI71" s="7"/>
      <c r="BJ71" s="13"/>
      <c r="BK71" s="12"/>
    </row>
    <row r="72" spans="1:63" x14ac:dyDescent="0.35">
      <c r="A72" s="7" t="s">
        <v>151</v>
      </c>
      <c r="B72" s="7" t="s">
        <v>152</v>
      </c>
      <c r="C72" s="7" t="s">
        <v>153</v>
      </c>
      <c r="D72" s="7"/>
      <c r="E72" s="7"/>
      <c r="F72" s="7" t="s">
        <v>203</v>
      </c>
      <c r="G72" s="7"/>
      <c r="H72" s="7"/>
      <c r="I72" s="7"/>
      <c r="J72" s="7"/>
      <c r="K72" s="7"/>
      <c r="L72" s="7" t="s">
        <v>155</v>
      </c>
      <c r="M72" s="7"/>
      <c r="N72" s="7"/>
      <c r="O72" s="7" t="s">
        <v>214</v>
      </c>
      <c r="P72" s="7" t="s">
        <v>215</v>
      </c>
      <c r="Q72" s="7" t="s">
        <v>204</v>
      </c>
      <c r="R72" s="7" t="s">
        <v>205</v>
      </c>
      <c r="S72" s="7" t="s">
        <v>206</v>
      </c>
      <c r="T72" s="7" t="s">
        <v>207</v>
      </c>
      <c r="U72" s="7"/>
      <c r="V72" s="7" t="s">
        <v>208</v>
      </c>
      <c r="W72" s="7" t="s">
        <v>163</v>
      </c>
      <c r="X72" s="7" t="s">
        <v>164</v>
      </c>
      <c r="Y72" s="7" t="s">
        <v>187</v>
      </c>
      <c r="Z72" s="7" t="s">
        <v>188</v>
      </c>
      <c r="AA72" s="7" t="s">
        <v>167</v>
      </c>
      <c r="AB72" s="7" t="s">
        <v>209</v>
      </c>
      <c r="AC72" s="7" t="s">
        <v>232</v>
      </c>
      <c r="AD72" s="7"/>
      <c r="AE72" s="7"/>
      <c r="AF72" s="7"/>
      <c r="AG72" s="7"/>
      <c r="AH72" s="7"/>
      <c r="AI72" s="7" t="s">
        <v>170</v>
      </c>
      <c r="AJ72" s="7" t="s">
        <v>171</v>
      </c>
      <c r="AK72" s="7" t="s">
        <v>172</v>
      </c>
      <c r="AL72" s="7"/>
      <c r="AM72" s="10">
        <v>2025</v>
      </c>
      <c r="AN72" s="10">
        <v>1</v>
      </c>
      <c r="AO72" s="9">
        <v>45688</v>
      </c>
      <c r="AP72" s="9">
        <v>45688</v>
      </c>
      <c r="AQ72" s="9">
        <v>45688</v>
      </c>
      <c r="AR72" s="7" t="s">
        <v>173</v>
      </c>
      <c r="AS72" s="7"/>
      <c r="AT72" s="7" t="s">
        <v>202</v>
      </c>
      <c r="AU72" s="7" t="s">
        <v>200</v>
      </c>
      <c r="AV72" s="7"/>
      <c r="AW72" s="7"/>
      <c r="AX72" s="7"/>
      <c r="AY72" s="7" t="s">
        <v>176</v>
      </c>
      <c r="AZ72" s="7" t="s">
        <v>214</v>
      </c>
      <c r="BA72" s="7" t="s">
        <v>178</v>
      </c>
      <c r="BB72" s="12">
        <v>-250</v>
      </c>
      <c r="BC72" s="7" t="s">
        <v>12</v>
      </c>
      <c r="BD72" s="13">
        <v>1.37</v>
      </c>
      <c r="BE72" s="12">
        <v>-342.5</v>
      </c>
      <c r="BF72" s="7" t="s">
        <v>178</v>
      </c>
      <c r="BG72" s="13">
        <v>2.85</v>
      </c>
      <c r="BH72" s="12">
        <v>-976.13</v>
      </c>
      <c r="BI72" s="7"/>
      <c r="BJ72" s="13"/>
      <c r="BK72" s="12"/>
    </row>
    <row r="73" spans="1:63" x14ac:dyDescent="0.35">
      <c r="A73" s="7" t="s">
        <v>151</v>
      </c>
      <c r="B73" s="7" t="s">
        <v>152</v>
      </c>
      <c r="C73" s="7" t="s">
        <v>153</v>
      </c>
      <c r="D73" s="7"/>
      <c r="E73" s="7" t="s">
        <v>208</v>
      </c>
      <c r="F73" s="7" t="s">
        <v>203</v>
      </c>
      <c r="G73" s="7"/>
      <c r="H73" s="7"/>
      <c r="I73" s="7"/>
      <c r="J73" s="7"/>
      <c r="K73" s="7"/>
      <c r="L73" s="7" t="s">
        <v>155</v>
      </c>
      <c r="M73" s="7"/>
      <c r="N73" s="7"/>
      <c r="O73" s="7" t="s">
        <v>214</v>
      </c>
      <c r="P73" s="7" t="s">
        <v>215</v>
      </c>
      <c r="Q73" s="7" t="s">
        <v>204</v>
      </c>
      <c r="R73" s="7" t="s">
        <v>205</v>
      </c>
      <c r="S73" s="7" t="s">
        <v>206</v>
      </c>
      <c r="T73" s="7" t="s">
        <v>207</v>
      </c>
      <c r="U73" s="7"/>
      <c r="V73" s="7" t="s">
        <v>208</v>
      </c>
      <c r="W73" s="7" t="s">
        <v>163</v>
      </c>
      <c r="X73" s="7" t="s">
        <v>164</v>
      </c>
      <c r="Y73" s="7" t="s">
        <v>187</v>
      </c>
      <c r="Z73" s="7" t="s">
        <v>188</v>
      </c>
      <c r="AA73" s="7" t="s">
        <v>167</v>
      </c>
      <c r="AB73" s="7" t="s">
        <v>209</v>
      </c>
      <c r="AC73" s="7" t="s">
        <v>232</v>
      </c>
      <c r="AD73" s="7"/>
      <c r="AE73" s="7"/>
      <c r="AF73" s="7"/>
      <c r="AG73" s="7"/>
      <c r="AH73" s="7"/>
      <c r="AI73" s="7" t="s">
        <v>170</v>
      </c>
      <c r="AJ73" s="7" t="s">
        <v>171</v>
      </c>
      <c r="AK73" s="7" t="s">
        <v>172</v>
      </c>
      <c r="AL73" s="7"/>
      <c r="AM73" s="10">
        <v>2025</v>
      </c>
      <c r="AN73" s="10">
        <v>1</v>
      </c>
      <c r="AO73" s="9">
        <v>45688</v>
      </c>
      <c r="AP73" s="9">
        <v>45688</v>
      </c>
      <c r="AQ73" s="9">
        <v>45688</v>
      </c>
      <c r="AR73" s="7" t="s">
        <v>173</v>
      </c>
      <c r="AS73" s="7"/>
      <c r="AT73" s="7" t="s">
        <v>233</v>
      </c>
      <c r="AU73" s="7" t="s">
        <v>234</v>
      </c>
      <c r="AV73" s="7"/>
      <c r="AW73" s="7"/>
      <c r="AX73" s="7"/>
      <c r="AY73" s="7" t="s">
        <v>181</v>
      </c>
      <c r="AZ73" s="7" t="s">
        <v>214</v>
      </c>
      <c r="BA73" s="7" t="s">
        <v>178</v>
      </c>
      <c r="BB73" s="12">
        <v>250</v>
      </c>
      <c r="BC73" s="7" t="s">
        <v>12</v>
      </c>
      <c r="BD73" s="13">
        <v>1.37</v>
      </c>
      <c r="BE73" s="12">
        <v>342.5</v>
      </c>
      <c r="BF73" s="7" t="s">
        <v>178</v>
      </c>
      <c r="BG73" s="13">
        <v>2.85</v>
      </c>
      <c r="BH73" s="12">
        <v>976.13</v>
      </c>
      <c r="BI73" s="7"/>
      <c r="BJ73" s="13"/>
      <c r="BK73" s="12"/>
    </row>
    <row r="74" spans="1:63" x14ac:dyDescent="0.35">
      <c r="A74" s="7" t="s">
        <v>151</v>
      </c>
      <c r="B74" s="7" t="s">
        <v>152</v>
      </c>
      <c r="C74" s="7" t="s">
        <v>153</v>
      </c>
      <c r="D74" s="7"/>
      <c r="E74" s="7" t="s">
        <v>208</v>
      </c>
      <c r="F74" s="7" t="s">
        <v>203</v>
      </c>
      <c r="G74" s="7"/>
      <c r="H74" s="7"/>
      <c r="I74" s="7"/>
      <c r="J74" s="7"/>
      <c r="K74" s="7"/>
      <c r="L74" s="7" t="s">
        <v>155</v>
      </c>
      <c r="M74" s="7"/>
      <c r="N74" s="7"/>
      <c r="O74" s="7" t="s">
        <v>214</v>
      </c>
      <c r="P74" s="7" t="s">
        <v>215</v>
      </c>
      <c r="Q74" s="7" t="s">
        <v>204</v>
      </c>
      <c r="R74" s="7" t="s">
        <v>205</v>
      </c>
      <c r="S74" s="7" t="s">
        <v>206</v>
      </c>
      <c r="T74" s="7" t="s">
        <v>207</v>
      </c>
      <c r="U74" s="7"/>
      <c r="V74" s="7" t="s">
        <v>208</v>
      </c>
      <c r="W74" s="7" t="s">
        <v>163</v>
      </c>
      <c r="X74" s="7" t="s">
        <v>164</v>
      </c>
      <c r="Y74" s="7" t="s">
        <v>187</v>
      </c>
      <c r="Z74" s="7" t="s">
        <v>188</v>
      </c>
      <c r="AA74" s="7" t="s">
        <v>167</v>
      </c>
      <c r="AB74" s="7" t="s">
        <v>209</v>
      </c>
      <c r="AC74" s="7" t="s">
        <v>232</v>
      </c>
      <c r="AD74" s="7"/>
      <c r="AE74" s="7"/>
      <c r="AF74" s="7"/>
      <c r="AG74" s="7"/>
      <c r="AH74" s="7"/>
      <c r="AI74" s="7" t="s">
        <v>170</v>
      </c>
      <c r="AJ74" s="7" t="s">
        <v>171</v>
      </c>
      <c r="AK74" s="7" t="s">
        <v>172</v>
      </c>
      <c r="AL74" s="7"/>
      <c r="AM74" s="10">
        <v>2025</v>
      </c>
      <c r="AN74" s="10">
        <v>1</v>
      </c>
      <c r="AO74" s="9">
        <v>45688</v>
      </c>
      <c r="AP74" s="9">
        <v>45688</v>
      </c>
      <c r="AQ74" s="9">
        <v>45688</v>
      </c>
      <c r="AR74" s="7" t="s">
        <v>173</v>
      </c>
      <c r="AS74" s="7"/>
      <c r="AT74" s="7" t="s">
        <v>197</v>
      </c>
      <c r="AU74" s="7" t="s">
        <v>198</v>
      </c>
      <c r="AV74" s="7"/>
      <c r="AW74" s="7"/>
      <c r="AX74" s="7"/>
      <c r="AY74" s="7" t="s">
        <v>176</v>
      </c>
      <c r="AZ74" s="7" t="s">
        <v>214</v>
      </c>
      <c r="BA74" s="7" t="s">
        <v>178</v>
      </c>
      <c r="BB74" s="12">
        <v>-6422.5</v>
      </c>
      <c r="BC74" s="7" t="s">
        <v>12</v>
      </c>
      <c r="BD74" s="13">
        <v>1.37</v>
      </c>
      <c r="BE74" s="12">
        <v>-8798.83</v>
      </c>
      <c r="BF74" s="7" t="s">
        <v>178</v>
      </c>
      <c r="BG74" s="13">
        <v>2.85</v>
      </c>
      <c r="BH74" s="12">
        <v>-25076.67</v>
      </c>
      <c r="BI74" s="7"/>
      <c r="BJ74" s="13"/>
      <c r="BK74" s="12"/>
    </row>
    <row r="75" spans="1:63" x14ac:dyDescent="0.35">
      <c r="A75" s="7" t="s">
        <v>151</v>
      </c>
      <c r="B75" s="7" t="s">
        <v>152</v>
      </c>
      <c r="C75" s="7" t="s">
        <v>153</v>
      </c>
      <c r="D75" s="7"/>
      <c r="E75" s="7"/>
      <c r="F75" s="7" t="s">
        <v>203</v>
      </c>
      <c r="G75" s="7"/>
      <c r="H75" s="7"/>
      <c r="I75" s="7"/>
      <c r="J75" s="7"/>
      <c r="K75" s="7"/>
      <c r="L75" s="7" t="s">
        <v>155</v>
      </c>
      <c r="M75" s="7"/>
      <c r="N75" s="7"/>
      <c r="O75" s="7" t="s">
        <v>214</v>
      </c>
      <c r="P75" s="7" t="s">
        <v>215</v>
      </c>
      <c r="Q75" s="7" t="s">
        <v>204</v>
      </c>
      <c r="R75" s="7" t="s">
        <v>205</v>
      </c>
      <c r="S75" s="7" t="s">
        <v>206</v>
      </c>
      <c r="T75" s="7" t="s">
        <v>207</v>
      </c>
      <c r="U75" s="7"/>
      <c r="V75" s="7" t="s">
        <v>208</v>
      </c>
      <c r="W75" s="7" t="s">
        <v>163</v>
      </c>
      <c r="X75" s="7" t="s">
        <v>164</v>
      </c>
      <c r="Y75" s="7" t="s">
        <v>187</v>
      </c>
      <c r="Z75" s="7" t="s">
        <v>188</v>
      </c>
      <c r="AA75" s="7" t="s">
        <v>167</v>
      </c>
      <c r="AB75" s="7" t="s">
        <v>209</v>
      </c>
      <c r="AC75" s="7" t="s">
        <v>232</v>
      </c>
      <c r="AD75" s="7"/>
      <c r="AE75" s="7"/>
      <c r="AF75" s="7"/>
      <c r="AG75" s="7"/>
      <c r="AH75" s="7"/>
      <c r="AI75" s="7" t="s">
        <v>170</v>
      </c>
      <c r="AJ75" s="7" t="s">
        <v>171</v>
      </c>
      <c r="AK75" s="7" t="s">
        <v>172</v>
      </c>
      <c r="AL75" s="7"/>
      <c r="AM75" s="10">
        <v>2025</v>
      </c>
      <c r="AN75" s="10">
        <v>1</v>
      </c>
      <c r="AO75" s="9">
        <v>45688</v>
      </c>
      <c r="AP75" s="9">
        <v>45688</v>
      </c>
      <c r="AQ75" s="9">
        <v>45688</v>
      </c>
      <c r="AR75" s="7" t="s">
        <v>173</v>
      </c>
      <c r="AS75" s="7"/>
      <c r="AT75" s="7" t="s">
        <v>174</v>
      </c>
      <c r="AU75" s="7" t="s">
        <v>175</v>
      </c>
      <c r="AV75" s="7"/>
      <c r="AW75" s="7"/>
      <c r="AX75" s="7"/>
      <c r="AY75" s="7" t="s">
        <v>181</v>
      </c>
      <c r="AZ75" s="7" t="s">
        <v>214</v>
      </c>
      <c r="BA75" s="7" t="s">
        <v>178</v>
      </c>
      <c r="BB75" s="12">
        <v>6422.5</v>
      </c>
      <c r="BC75" s="7" t="s">
        <v>12</v>
      </c>
      <c r="BD75" s="13">
        <v>1.37</v>
      </c>
      <c r="BE75" s="12">
        <v>8798.83</v>
      </c>
      <c r="BF75" s="7" t="s">
        <v>178</v>
      </c>
      <c r="BG75" s="13">
        <v>2.85</v>
      </c>
      <c r="BH75" s="12">
        <v>25076.67</v>
      </c>
      <c r="BI75" s="7"/>
      <c r="BJ75" s="13"/>
      <c r="BK75" s="12"/>
    </row>
    <row r="76" spans="1:63" x14ac:dyDescent="0.35">
      <c r="A76" s="7" t="s">
        <v>151</v>
      </c>
      <c r="B76" s="7" t="s">
        <v>152</v>
      </c>
      <c r="C76" s="7" t="s">
        <v>153</v>
      </c>
      <c r="D76" s="7"/>
      <c r="E76" s="7"/>
      <c r="F76" s="7" t="s">
        <v>203</v>
      </c>
      <c r="G76" s="7"/>
      <c r="H76" s="7"/>
      <c r="I76" s="7"/>
      <c r="J76" s="7"/>
      <c r="K76" s="7"/>
      <c r="L76" s="7" t="s">
        <v>155</v>
      </c>
      <c r="M76" s="7"/>
      <c r="N76" s="7"/>
      <c r="O76" s="7" t="s">
        <v>222</v>
      </c>
      <c r="P76" s="7" t="s">
        <v>223</v>
      </c>
      <c r="Q76" s="7" t="s">
        <v>204</v>
      </c>
      <c r="R76" s="7" t="s">
        <v>205</v>
      </c>
      <c r="S76" s="7" t="s">
        <v>206</v>
      </c>
      <c r="T76" s="7" t="s">
        <v>207</v>
      </c>
      <c r="U76" s="7"/>
      <c r="V76" s="7" t="s">
        <v>208</v>
      </c>
      <c r="W76" s="7" t="s">
        <v>163</v>
      </c>
      <c r="X76" s="7" t="s">
        <v>164</v>
      </c>
      <c r="Y76" s="7" t="s">
        <v>187</v>
      </c>
      <c r="Z76" s="7" t="s">
        <v>188</v>
      </c>
      <c r="AA76" s="7" t="s">
        <v>167</v>
      </c>
      <c r="AB76" s="7" t="s">
        <v>209</v>
      </c>
      <c r="AC76" s="7" t="s">
        <v>235</v>
      </c>
      <c r="AD76" s="7"/>
      <c r="AE76" s="7"/>
      <c r="AF76" s="7"/>
      <c r="AG76" s="7"/>
      <c r="AH76" s="7"/>
      <c r="AI76" s="7" t="s">
        <v>170</v>
      </c>
      <c r="AJ76" s="7" t="s">
        <v>171</v>
      </c>
      <c r="AK76" s="7" t="s">
        <v>172</v>
      </c>
      <c r="AL76" s="7"/>
      <c r="AM76" s="10">
        <v>2025</v>
      </c>
      <c r="AN76" s="10">
        <v>1</v>
      </c>
      <c r="AO76" s="9">
        <v>45688</v>
      </c>
      <c r="AP76" s="9">
        <v>45688</v>
      </c>
      <c r="AQ76" s="9">
        <v>45688</v>
      </c>
      <c r="AR76" s="7" t="s">
        <v>173</v>
      </c>
      <c r="AS76" s="7" t="s">
        <v>231</v>
      </c>
      <c r="AT76" s="7" t="s">
        <v>226</v>
      </c>
      <c r="AU76" s="7" t="s">
        <v>265</v>
      </c>
      <c r="AV76" s="7"/>
      <c r="AW76" s="7"/>
      <c r="AX76" s="7"/>
      <c r="AY76" s="7" t="s">
        <v>176</v>
      </c>
      <c r="AZ76" s="7" t="s">
        <v>222</v>
      </c>
      <c r="BA76" s="7" t="s">
        <v>178</v>
      </c>
      <c r="BB76" s="12">
        <v>-6352.28</v>
      </c>
      <c r="BC76" s="7" t="s">
        <v>12</v>
      </c>
      <c r="BD76" s="13">
        <v>1.37</v>
      </c>
      <c r="BE76" s="12">
        <v>-8702.6200000000008</v>
      </c>
      <c r="BF76" s="7" t="s">
        <v>178</v>
      </c>
      <c r="BG76" s="13">
        <v>2.85</v>
      </c>
      <c r="BH76" s="12">
        <v>-24802.47</v>
      </c>
      <c r="BI76" s="7"/>
      <c r="BJ76" s="13"/>
      <c r="BK76" s="12"/>
    </row>
    <row r="77" spans="1:63" x14ac:dyDescent="0.35">
      <c r="A77" s="7" t="s">
        <v>151</v>
      </c>
      <c r="B77" s="7" t="s">
        <v>152</v>
      </c>
      <c r="C77" s="7" t="s">
        <v>153</v>
      </c>
      <c r="D77" s="7"/>
      <c r="E77" s="7" t="s">
        <v>208</v>
      </c>
      <c r="F77" s="7" t="s">
        <v>203</v>
      </c>
      <c r="G77" s="7"/>
      <c r="H77" s="7"/>
      <c r="I77" s="7"/>
      <c r="J77" s="7"/>
      <c r="K77" s="7"/>
      <c r="L77" s="7" t="s">
        <v>155</v>
      </c>
      <c r="M77" s="7"/>
      <c r="N77" s="7"/>
      <c r="O77" s="7" t="s">
        <v>222</v>
      </c>
      <c r="P77" s="7" t="s">
        <v>223</v>
      </c>
      <c r="Q77" s="7" t="s">
        <v>204</v>
      </c>
      <c r="R77" s="7" t="s">
        <v>205</v>
      </c>
      <c r="S77" s="7" t="s">
        <v>206</v>
      </c>
      <c r="T77" s="7" t="s">
        <v>207</v>
      </c>
      <c r="U77" s="7"/>
      <c r="V77" s="7" t="s">
        <v>208</v>
      </c>
      <c r="W77" s="7" t="s">
        <v>163</v>
      </c>
      <c r="X77" s="7" t="s">
        <v>164</v>
      </c>
      <c r="Y77" s="7" t="s">
        <v>187</v>
      </c>
      <c r="Z77" s="7" t="s">
        <v>188</v>
      </c>
      <c r="AA77" s="7" t="s">
        <v>167</v>
      </c>
      <c r="AB77" s="7" t="s">
        <v>209</v>
      </c>
      <c r="AC77" s="7" t="s">
        <v>235</v>
      </c>
      <c r="AD77" s="7"/>
      <c r="AE77" s="7"/>
      <c r="AF77" s="7"/>
      <c r="AG77" s="7"/>
      <c r="AH77" s="7"/>
      <c r="AI77" s="7" t="s">
        <v>170</v>
      </c>
      <c r="AJ77" s="7" t="s">
        <v>171</v>
      </c>
      <c r="AK77" s="7" t="s">
        <v>172</v>
      </c>
      <c r="AL77" s="7"/>
      <c r="AM77" s="10">
        <v>2025</v>
      </c>
      <c r="AN77" s="10">
        <v>1</v>
      </c>
      <c r="AO77" s="9">
        <v>45688</v>
      </c>
      <c r="AP77" s="9">
        <v>45688</v>
      </c>
      <c r="AQ77" s="9">
        <v>45688</v>
      </c>
      <c r="AR77" s="7" t="s">
        <v>173</v>
      </c>
      <c r="AS77" s="7" t="s">
        <v>231</v>
      </c>
      <c r="AT77" s="7" t="s">
        <v>228</v>
      </c>
      <c r="AU77" s="7" t="s">
        <v>222</v>
      </c>
      <c r="AV77" s="7"/>
      <c r="AW77" s="7"/>
      <c r="AX77" s="7"/>
      <c r="AY77" s="7" t="s">
        <v>181</v>
      </c>
      <c r="AZ77" s="7" t="s">
        <v>222</v>
      </c>
      <c r="BA77" s="7" t="s">
        <v>178</v>
      </c>
      <c r="BB77" s="12">
        <v>6352.28</v>
      </c>
      <c r="BC77" s="7" t="s">
        <v>12</v>
      </c>
      <c r="BD77" s="13">
        <v>1.37</v>
      </c>
      <c r="BE77" s="12">
        <v>8702.6200000000008</v>
      </c>
      <c r="BF77" s="7" t="s">
        <v>178</v>
      </c>
      <c r="BG77" s="13">
        <v>2.85</v>
      </c>
      <c r="BH77" s="12">
        <v>24802.47</v>
      </c>
      <c r="BI77" s="7"/>
      <c r="BJ77" s="13"/>
      <c r="BK77" s="12"/>
    </row>
    <row r="78" spans="1:63" x14ac:dyDescent="0.35">
      <c r="A78" s="7" t="s">
        <v>151</v>
      </c>
      <c r="B78" s="7" t="s">
        <v>152</v>
      </c>
      <c r="C78" s="7" t="s">
        <v>153</v>
      </c>
      <c r="D78" s="7"/>
      <c r="E78" s="7"/>
      <c r="F78" s="7" t="s">
        <v>203</v>
      </c>
      <c r="G78" s="7"/>
      <c r="H78" s="7"/>
      <c r="I78" s="7"/>
      <c r="J78" s="7"/>
      <c r="K78" s="7"/>
      <c r="L78" s="7" t="s">
        <v>155</v>
      </c>
      <c r="M78" s="7"/>
      <c r="N78" s="7"/>
      <c r="O78" s="7" t="s">
        <v>214</v>
      </c>
      <c r="P78" s="7" t="s">
        <v>215</v>
      </c>
      <c r="Q78" s="7" t="s">
        <v>204</v>
      </c>
      <c r="R78" s="7" t="s">
        <v>205</v>
      </c>
      <c r="S78" s="7" t="s">
        <v>206</v>
      </c>
      <c r="T78" s="7" t="s">
        <v>207</v>
      </c>
      <c r="U78" s="7"/>
      <c r="V78" s="7" t="s">
        <v>208</v>
      </c>
      <c r="W78" s="7" t="s">
        <v>163</v>
      </c>
      <c r="X78" s="7" t="s">
        <v>164</v>
      </c>
      <c r="Y78" s="7" t="s">
        <v>165</v>
      </c>
      <c r="Z78" s="7" t="s">
        <v>166</v>
      </c>
      <c r="AA78" s="7" t="s">
        <v>167</v>
      </c>
      <c r="AB78" s="7" t="s">
        <v>209</v>
      </c>
      <c r="AC78" s="7" t="s">
        <v>236</v>
      </c>
      <c r="AD78" s="7"/>
      <c r="AE78" s="7"/>
      <c r="AF78" s="7"/>
      <c r="AG78" s="7"/>
      <c r="AH78" s="7"/>
      <c r="AI78" s="7" t="s">
        <v>170</v>
      </c>
      <c r="AJ78" s="7" t="s">
        <v>171</v>
      </c>
      <c r="AK78" s="7" t="s">
        <v>172</v>
      </c>
      <c r="AL78" s="7"/>
      <c r="AM78" s="10">
        <v>2025</v>
      </c>
      <c r="AN78" s="10">
        <v>1</v>
      </c>
      <c r="AO78" s="9">
        <v>45688</v>
      </c>
      <c r="AP78" s="9">
        <v>45688</v>
      </c>
      <c r="AQ78" s="9">
        <v>45688</v>
      </c>
      <c r="AR78" s="7" t="s">
        <v>173</v>
      </c>
      <c r="AS78" s="7"/>
      <c r="AT78" s="7" t="s">
        <v>211</v>
      </c>
      <c r="AU78" s="7" t="s">
        <v>212</v>
      </c>
      <c r="AV78" s="7"/>
      <c r="AW78" s="7"/>
      <c r="AX78" s="7"/>
      <c r="AY78" s="7" t="s">
        <v>176</v>
      </c>
      <c r="AZ78" s="7" t="s">
        <v>214</v>
      </c>
      <c r="BA78" s="7" t="s">
        <v>178</v>
      </c>
      <c r="BB78" s="12">
        <v>-147.72</v>
      </c>
      <c r="BC78" s="7" t="s">
        <v>12</v>
      </c>
      <c r="BD78" s="13">
        <v>1.37</v>
      </c>
      <c r="BE78" s="12">
        <v>-202.38</v>
      </c>
      <c r="BF78" s="7" t="s">
        <v>178</v>
      </c>
      <c r="BG78" s="13">
        <v>2.85</v>
      </c>
      <c r="BH78" s="12">
        <v>-576.78</v>
      </c>
      <c r="BI78" s="7"/>
      <c r="BJ78" s="13"/>
      <c r="BK78" s="12"/>
    </row>
    <row r="79" spans="1:63" x14ac:dyDescent="0.35">
      <c r="A79" s="7" t="s">
        <v>151</v>
      </c>
      <c r="B79" s="7" t="s">
        <v>152</v>
      </c>
      <c r="C79" s="7" t="s">
        <v>153</v>
      </c>
      <c r="D79" s="7"/>
      <c r="E79" s="7" t="s">
        <v>208</v>
      </c>
      <c r="F79" s="7" t="s">
        <v>203</v>
      </c>
      <c r="G79" s="7"/>
      <c r="H79" s="7"/>
      <c r="I79" s="7"/>
      <c r="J79" s="7"/>
      <c r="K79" s="7"/>
      <c r="L79" s="7" t="s">
        <v>155</v>
      </c>
      <c r="M79" s="7"/>
      <c r="N79" s="7"/>
      <c r="O79" s="7" t="s">
        <v>214</v>
      </c>
      <c r="P79" s="7" t="s">
        <v>215</v>
      </c>
      <c r="Q79" s="7" t="s">
        <v>204</v>
      </c>
      <c r="R79" s="7" t="s">
        <v>205</v>
      </c>
      <c r="S79" s="7" t="s">
        <v>206</v>
      </c>
      <c r="T79" s="7" t="s">
        <v>207</v>
      </c>
      <c r="U79" s="7"/>
      <c r="V79" s="7" t="s">
        <v>208</v>
      </c>
      <c r="W79" s="7" t="s">
        <v>163</v>
      </c>
      <c r="X79" s="7" t="s">
        <v>164</v>
      </c>
      <c r="Y79" s="7" t="s">
        <v>165</v>
      </c>
      <c r="Z79" s="7" t="s">
        <v>166</v>
      </c>
      <c r="AA79" s="7" t="s">
        <v>167</v>
      </c>
      <c r="AB79" s="7" t="s">
        <v>209</v>
      </c>
      <c r="AC79" s="7" t="s">
        <v>236</v>
      </c>
      <c r="AD79" s="7"/>
      <c r="AE79" s="7"/>
      <c r="AF79" s="7"/>
      <c r="AG79" s="7"/>
      <c r="AH79" s="7"/>
      <c r="AI79" s="7" t="s">
        <v>170</v>
      </c>
      <c r="AJ79" s="7" t="s">
        <v>171</v>
      </c>
      <c r="AK79" s="7" t="s">
        <v>172</v>
      </c>
      <c r="AL79" s="7"/>
      <c r="AM79" s="10">
        <v>2025</v>
      </c>
      <c r="AN79" s="10">
        <v>1</v>
      </c>
      <c r="AO79" s="9">
        <v>45688</v>
      </c>
      <c r="AP79" s="9">
        <v>45688</v>
      </c>
      <c r="AQ79" s="9">
        <v>45688</v>
      </c>
      <c r="AR79" s="7" t="s">
        <v>173</v>
      </c>
      <c r="AS79" s="7"/>
      <c r="AT79" s="7" t="s">
        <v>217</v>
      </c>
      <c r="AU79" s="7" t="s">
        <v>218</v>
      </c>
      <c r="AV79" s="7"/>
      <c r="AW79" s="7"/>
      <c r="AX79" s="7"/>
      <c r="AY79" s="7" t="s">
        <v>181</v>
      </c>
      <c r="AZ79" s="7" t="s">
        <v>214</v>
      </c>
      <c r="BA79" s="7" t="s">
        <v>178</v>
      </c>
      <c r="BB79" s="12">
        <v>147.72</v>
      </c>
      <c r="BC79" s="7" t="s">
        <v>12</v>
      </c>
      <c r="BD79" s="13">
        <v>1.37</v>
      </c>
      <c r="BE79" s="12">
        <v>202.38</v>
      </c>
      <c r="BF79" s="7" t="s">
        <v>178</v>
      </c>
      <c r="BG79" s="13">
        <v>2.85</v>
      </c>
      <c r="BH79" s="12">
        <v>576.78</v>
      </c>
      <c r="BI79" s="7"/>
      <c r="BJ79" s="13"/>
      <c r="BK79" s="12"/>
    </row>
    <row r="80" spans="1:63" x14ac:dyDescent="0.35">
      <c r="A80" s="7" t="s">
        <v>151</v>
      </c>
      <c r="B80" s="7" t="s">
        <v>152</v>
      </c>
      <c r="C80" s="7" t="s">
        <v>153</v>
      </c>
      <c r="D80" s="7"/>
      <c r="E80" s="7"/>
      <c r="F80" s="7" t="s">
        <v>203</v>
      </c>
      <c r="G80" s="7"/>
      <c r="H80" s="7"/>
      <c r="I80" s="7"/>
      <c r="J80" s="7"/>
      <c r="K80" s="7"/>
      <c r="L80" s="7" t="s">
        <v>155</v>
      </c>
      <c r="M80" s="7"/>
      <c r="N80" s="7"/>
      <c r="O80" s="7" t="s">
        <v>214</v>
      </c>
      <c r="P80" s="7" t="s">
        <v>215</v>
      </c>
      <c r="Q80" s="7" t="s">
        <v>204</v>
      </c>
      <c r="R80" s="7" t="s">
        <v>205</v>
      </c>
      <c r="S80" s="7" t="s">
        <v>206</v>
      </c>
      <c r="T80" s="7" t="s">
        <v>207</v>
      </c>
      <c r="U80" s="7"/>
      <c r="V80" s="7" t="s">
        <v>208</v>
      </c>
      <c r="W80" s="7" t="s">
        <v>163</v>
      </c>
      <c r="X80" s="7" t="s">
        <v>164</v>
      </c>
      <c r="Y80" s="7" t="s">
        <v>165</v>
      </c>
      <c r="Z80" s="7" t="s">
        <v>166</v>
      </c>
      <c r="AA80" s="7" t="s">
        <v>167</v>
      </c>
      <c r="AB80" s="7" t="s">
        <v>209</v>
      </c>
      <c r="AC80" s="7" t="s">
        <v>236</v>
      </c>
      <c r="AD80" s="7"/>
      <c r="AE80" s="7"/>
      <c r="AF80" s="7"/>
      <c r="AG80" s="7"/>
      <c r="AH80" s="7"/>
      <c r="AI80" s="7" t="s">
        <v>170</v>
      </c>
      <c r="AJ80" s="7" t="s">
        <v>171</v>
      </c>
      <c r="AK80" s="7" t="s">
        <v>172</v>
      </c>
      <c r="AL80" s="7"/>
      <c r="AM80" s="10">
        <v>2025</v>
      </c>
      <c r="AN80" s="10">
        <v>1</v>
      </c>
      <c r="AO80" s="9">
        <v>45688</v>
      </c>
      <c r="AP80" s="9">
        <v>45688</v>
      </c>
      <c r="AQ80" s="9">
        <v>45688</v>
      </c>
      <c r="AR80" s="7" t="s">
        <v>173</v>
      </c>
      <c r="AS80" s="7"/>
      <c r="AT80" s="7" t="s">
        <v>202</v>
      </c>
      <c r="AU80" s="7" t="s">
        <v>200</v>
      </c>
      <c r="AV80" s="7"/>
      <c r="AW80" s="7"/>
      <c r="AX80" s="7"/>
      <c r="AY80" s="7" t="s">
        <v>176</v>
      </c>
      <c r="AZ80" s="7" t="s">
        <v>214</v>
      </c>
      <c r="BA80" s="7" t="s">
        <v>178</v>
      </c>
      <c r="BB80" s="12">
        <v>-250</v>
      </c>
      <c r="BC80" s="7" t="s">
        <v>12</v>
      </c>
      <c r="BD80" s="13">
        <v>1.37</v>
      </c>
      <c r="BE80" s="12">
        <v>-342.5</v>
      </c>
      <c r="BF80" s="7" t="s">
        <v>178</v>
      </c>
      <c r="BG80" s="13">
        <v>2.85</v>
      </c>
      <c r="BH80" s="12">
        <v>-976.13</v>
      </c>
      <c r="BI80" s="7"/>
      <c r="BJ80" s="13"/>
      <c r="BK80" s="12"/>
    </row>
    <row r="81" spans="1:63" x14ac:dyDescent="0.35">
      <c r="A81" s="7" t="s">
        <v>151</v>
      </c>
      <c r="B81" s="7" t="s">
        <v>152</v>
      </c>
      <c r="C81" s="7" t="s">
        <v>153</v>
      </c>
      <c r="D81" s="7"/>
      <c r="E81" s="7" t="s">
        <v>208</v>
      </c>
      <c r="F81" s="7" t="s">
        <v>203</v>
      </c>
      <c r="G81" s="7"/>
      <c r="H81" s="7"/>
      <c r="I81" s="7"/>
      <c r="J81" s="7"/>
      <c r="K81" s="7"/>
      <c r="L81" s="7" t="s">
        <v>155</v>
      </c>
      <c r="M81" s="7"/>
      <c r="N81" s="7"/>
      <c r="O81" s="7" t="s">
        <v>214</v>
      </c>
      <c r="P81" s="7" t="s">
        <v>215</v>
      </c>
      <c r="Q81" s="7" t="s">
        <v>204</v>
      </c>
      <c r="R81" s="7" t="s">
        <v>205</v>
      </c>
      <c r="S81" s="7" t="s">
        <v>206</v>
      </c>
      <c r="T81" s="7" t="s">
        <v>207</v>
      </c>
      <c r="U81" s="7"/>
      <c r="V81" s="7" t="s">
        <v>208</v>
      </c>
      <c r="W81" s="7" t="s">
        <v>163</v>
      </c>
      <c r="X81" s="7" t="s">
        <v>164</v>
      </c>
      <c r="Y81" s="7" t="s">
        <v>165</v>
      </c>
      <c r="Z81" s="7" t="s">
        <v>166</v>
      </c>
      <c r="AA81" s="7" t="s">
        <v>167</v>
      </c>
      <c r="AB81" s="7" t="s">
        <v>209</v>
      </c>
      <c r="AC81" s="7" t="s">
        <v>236</v>
      </c>
      <c r="AD81" s="7"/>
      <c r="AE81" s="7"/>
      <c r="AF81" s="7"/>
      <c r="AG81" s="7"/>
      <c r="AH81" s="7"/>
      <c r="AI81" s="7" t="s">
        <v>170</v>
      </c>
      <c r="AJ81" s="7" t="s">
        <v>171</v>
      </c>
      <c r="AK81" s="7" t="s">
        <v>172</v>
      </c>
      <c r="AL81" s="7"/>
      <c r="AM81" s="10">
        <v>2025</v>
      </c>
      <c r="AN81" s="10">
        <v>1</v>
      </c>
      <c r="AO81" s="9">
        <v>45688</v>
      </c>
      <c r="AP81" s="9">
        <v>45688</v>
      </c>
      <c r="AQ81" s="9">
        <v>45688</v>
      </c>
      <c r="AR81" s="7" t="s">
        <v>173</v>
      </c>
      <c r="AS81" s="7"/>
      <c r="AT81" s="7" t="s">
        <v>233</v>
      </c>
      <c r="AU81" s="7" t="s">
        <v>234</v>
      </c>
      <c r="AV81" s="7"/>
      <c r="AW81" s="7"/>
      <c r="AX81" s="7"/>
      <c r="AY81" s="7" t="s">
        <v>181</v>
      </c>
      <c r="AZ81" s="7" t="s">
        <v>214</v>
      </c>
      <c r="BA81" s="7" t="s">
        <v>178</v>
      </c>
      <c r="BB81" s="12">
        <v>250</v>
      </c>
      <c r="BC81" s="7" t="s">
        <v>12</v>
      </c>
      <c r="BD81" s="13">
        <v>1.37</v>
      </c>
      <c r="BE81" s="12">
        <v>342.5</v>
      </c>
      <c r="BF81" s="7" t="s">
        <v>178</v>
      </c>
      <c r="BG81" s="13">
        <v>2.85</v>
      </c>
      <c r="BH81" s="12">
        <v>976.13</v>
      </c>
      <c r="BI81" s="7"/>
      <c r="BJ81" s="13"/>
      <c r="BK81" s="12"/>
    </row>
    <row r="82" spans="1:63" x14ac:dyDescent="0.35">
      <c r="A82" s="7" t="s">
        <v>151</v>
      </c>
      <c r="B82" s="7" t="s">
        <v>152</v>
      </c>
      <c r="C82" s="7" t="s">
        <v>153</v>
      </c>
      <c r="D82" s="7"/>
      <c r="E82" s="7" t="s">
        <v>208</v>
      </c>
      <c r="F82" s="7" t="s">
        <v>203</v>
      </c>
      <c r="G82" s="7"/>
      <c r="H82" s="7"/>
      <c r="I82" s="7"/>
      <c r="J82" s="7"/>
      <c r="K82" s="7"/>
      <c r="L82" s="7" t="s">
        <v>155</v>
      </c>
      <c r="M82" s="7"/>
      <c r="N82" s="7"/>
      <c r="O82" s="7" t="s">
        <v>214</v>
      </c>
      <c r="P82" s="7" t="s">
        <v>215</v>
      </c>
      <c r="Q82" s="7" t="s">
        <v>204</v>
      </c>
      <c r="R82" s="7" t="s">
        <v>205</v>
      </c>
      <c r="S82" s="7" t="s">
        <v>206</v>
      </c>
      <c r="T82" s="7" t="s">
        <v>207</v>
      </c>
      <c r="U82" s="7"/>
      <c r="V82" s="7" t="s">
        <v>208</v>
      </c>
      <c r="W82" s="7" t="s">
        <v>163</v>
      </c>
      <c r="X82" s="7" t="s">
        <v>164</v>
      </c>
      <c r="Y82" s="7" t="s">
        <v>165</v>
      </c>
      <c r="Z82" s="7" t="s">
        <v>166</v>
      </c>
      <c r="AA82" s="7" t="s">
        <v>167</v>
      </c>
      <c r="AB82" s="7" t="s">
        <v>209</v>
      </c>
      <c r="AC82" s="7" t="s">
        <v>236</v>
      </c>
      <c r="AD82" s="7"/>
      <c r="AE82" s="7"/>
      <c r="AF82" s="7"/>
      <c r="AG82" s="7"/>
      <c r="AH82" s="7"/>
      <c r="AI82" s="7" t="s">
        <v>170</v>
      </c>
      <c r="AJ82" s="7" t="s">
        <v>171</v>
      </c>
      <c r="AK82" s="7" t="s">
        <v>172</v>
      </c>
      <c r="AL82" s="7"/>
      <c r="AM82" s="10">
        <v>2025</v>
      </c>
      <c r="AN82" s="10">
        <v>1</v>
      </c>
      <c r="AO82" s="9">
        <v>45688</v>
      </c>
      <c r="AP82" s="9">
        <v>45688</v>
      </c>
      <c r="AQ82" s="9">
        <v>45688</v>
      </c>
      <c r="AR82" s="7" t="s">
        <v>173</v>
      </c>
      <c r="AS82" s="7"/>
      <c r="AT82" s="7" t="s">
        <v>197</v>
      </c>
      <c r="AU82" s="7" t="s">
        <v>198</v>
      </c>
      <c r="AV82" s="7"/>
      <c r="AW82" s="7"/>
      <c r="AX82" s="7"/>
      <c r="AY82" s="7" t="s">
        <v>176</v>
      </c>
      <c r="AZ82" s="7" t="s">
        <v>214</v>
      </c>
      <c r="BA82" s="7" t="s">
        <v>178</v>
      </c>
      <c r="BB82" s="12">
        <v>-6422.5</v>
      </c>
      <c r="BC82" s="7" t="s">
        <v>12</v>
      </c>
      <c r="BD82" s="13">
        <v>1.37</v>
      </c>
      <c r="BE82" s="12">
        <v>-8798.83</v>
      </c>
      <c r="BF82" s="7" t="s">
        <v>178</v>
      </c>
      <c r="BG82" s="13">
        <v>2.85</v>
      </c>
      <c r="BH82" s="12">
        <v>-25076.67</v>
      </c>
      <c r="BI82" s="7"/>
      <c r="BJ82" s="13"/>
      <c r="BK82" s="12"/>
    </row>
    <row r="83" spans="1:63" x14ac:dyDescent="0.35">
      <c r="A83" s="7" t="s">
        <v>151</v>
      </c>
      <c r="B83" s="7" t="s">
        <v>152</v>
      </c>
      <c r="C83" s="7" t="s">
        <v>153</v>
      </c>
      <c r="D83" s="7"/>
      <c r="E83" s="7"/>
      <c r="F83" s="7" t="s">
        <v>203</v>
      </c>
      <c r="G83" s="7"/>
      <c r="H83" s="7"/>
      <c r="I83" s="7"/>
      <c r="J83" s="7"/>
      <c r="K83" s="7"/>
      <c r="L83" s="7" t="s">
        <v>155</v>
      </c>
      <c r="M83" s="7"/>
      <c r="N83" s="7"/>
      <c r="O83" s="7" t="s">
        <v>214</v>
      </c>
      <c r="P83" s="7" t="s">
        <v>215</v>
      </c>
      <c r="Q83" s="7" t="s">
        <v>204</v>
      </c>
      <c r="R83" s="7" t="s">
        <v>205</v>
      </c>
      <c r="S83" s="7" t="s">
        <v>206</v>
      </c>
      <c r="T83" s="7" t="s">
        <v>207</v>
      </c>
      <c r="U83" s="7"/>
      <c r="V83" s="7" t="s">
        <v>208</v>
      </c>
      <c r="W83" s="7" t="s">
        <v>163</v>
      </c>
      <c r="X83" s="7" t="s">
        <v>164</v>
      </c>
      <c r="Y83" s="7" t="s">
        <v>165</v>
      </c>
      <c r="Z83" s="7" t="s">
        <v>166</v>
      </c>
      <c r="AA83" s="7" t="s">
        <v>167</v>
      </c>
      <c r="AB83" s="7" t="s">
        <v>209</v>
      </c>
      <c r="AC83" s="7" t="s">
        <v>236</v>
      </c>
      <c r="AD83" s="7"/>
      <c r="AE83" s="7"/>
      <c r="AF83" s="7"/>
      <c r="AG83" s="7"/>
      <c r="AH83" s="7"/>
      <c r="AI83" s="7" t="s">
        <v>170</v>
      </c>
      <c r="AJ83" s="7" t="s">
        <v>171</v>
      </c>
      <c r="AK83" s="7" t="s">
        <v>172</v>
      </c>
      <c r="AL83" s="7"/>
      <c r="AM83" s="10">
        <v>2025</v>
      </c>
      <c r="AN83" s="10">
        <v>1</v>
      </c>
      <c r="AO83" s="9">
        <v>45688</v>
      </c>
      <c r="AP83" s="9">
        <v>45688</v>
      </c>
      <c r="AQ83" s="9">
        <v>45688</v>
      </c>
      <c r="AR83" s="7" t="s">
        <v>173</v>
      </c>
      <c r="AS83" s="7"/>
      <c r="AT83" s="7" t="s">
        <v>174</v>
      </c>
      <c r="AU83" s="7" t="s">
        <v>175</v>
      </c>
      <c r="AV83" s="7"/>
      <c r="AW83" s="7"/>
      <c r="AX83" s="7"/>
      <c r="AY83" s="7" t="s">
        <v>181</v>
      </c>
      <c r="AZ83" s="7" t="s">
        <v>214</v>
      </c>
      <c r="BA83" s="7" t="s">
        <v>178</v>
      </c>
      <c r="BB83" s="12">
        <v>6422.5</v>
      </c>
      <c r="BC83" s="7" t="s">
        <v>12</v>
      </c>
      <c r="BD83" s="13">
        <v>1.37</v>
      </c>
      <c r="BE83" s="12">
        <v>8798.83</v>
      </c>
      <c r="BF83" s="7" t="s">
        <v>178</v>
      </c>
      <c r="BG83" s="13">
        <v>2.85</v>
      </c>
      <c r="BH83" s="12">
        <v>25076.67</v>
      </c>
      <c r="BI83" s="7"/>
      <c r="BJ83" s="13"/>
      <c r="BK83" s="12"/>
    </row>
    <row r="84" spans="1:63" x14ac:dyDescent="0.35">
      <c r="A84" s="7" t="s">
        <v>151</v>
      </c>
      <c r="B84" s="7" t="s">
        <v>152</v>
      </c>
      <c r="C84" s="7" t="s">
        <v>153</v>
      </c>
      <c r="D84" s="7"/>
      <c r="E84" s="7"/>
      <c r="F84" s="7" t="s">
        <v>203</v>
      </c>
      <c r="G84" s="7"/>
      <c r="H84" s="7"/>
      <c r="I84" s="7"/>
      <c r="J84" s="7"/>
      <c r="K84" s="7"/>
      <c r="L84" s="7" t="s">
        <v>155</v>
      </c>
      <c r="M84" s="7"/>
      <c r="N84" s="7"/>
      <c r="O84" s="7" t="s">
        <v>222</v>
      </c>
      <c r="P84" s="7" t="s">
        <v>223</v>
      </c>
      <c r="Q84" s="7" t="s">
        <v>204</v>
      </c>
      <c r="R84" s="7" t="s">
        <v>205</v>
      </c>
      <c r="S84" s="7" t="s">
        <v>206</v>
      </c>
      <c r="T84" s="7" t="s">
        <v>207</v>
      </c>
      <c r="U84" s="7"/>
      <c r="V84" s="7" t="s">
        <v>208</v>
      </c>
      <c r="W84" s="7" t="s">
        <v>163</v>
      </c>
      <c r="X84" s="7" t="s">
        <v>164</v>
      </c>
      <c r="Y84" s="7" t="s">
        <v>165</v>
      </c>
      <c r="Z84" s="7" t="s">
        <v>166</v>
      </c>
      <c r="AA84" s="7" t="s">
        <v>167</v>
      </c>
      <c r="AB84" s="7" t="s">
        <v>209</v>
      </c>
      <c r="AC84" s="7" t="s">
        <v>237</v>
      </c>
      <c r="AD84" s="7"/>
      <c r="AE84" s="7"/>
      <c r="AF84" s="7"/>
      <c r="AG84" s="7"/>
      <c r="AH84" s="7"/>
      <c r="AI84" s="7" t="s">
        <v>170</v>
      </c>
      <c r="AJ84" s="7" t="s">
        <v>171</v>
      </c>
      <c r="AK84" s="7" t="s">
        <v>172</v>
      </c>
      <c r="AL84" s="7"/>
      <c r="AM84" s="10">
        <v>2025</v>
      </c>
      <c r="AN84" s="10">
        <v>1</v>
      </c>
      <c r="AO84" s="9">
        <v>45688</v>
      </c>
      <c r="AP84" s="9">
        <v>45688</v>
      </c>
      <c r="AQ84" s="9">
        <v>45688</v>
      </c>
      <c r="AR84" s="7" t="s">
        <v>173</v>
      </c>
      <c r="AS84" s="7" t="s">
        <v>225</v>
      </c>
      <c r="AT84" s="7" t="s">
        <v>226</v>
      </c>
      <c r="AU84" s="7" t="s">
        <v>265</v>
      </c>
      <c r="AV84" s="7"/>
      <c r="AW84" s="7"/>
      <c r="AX84" s="7"/>
      <c r="AY84" s="7" t="s">
        <v>176</v>
      </c>
      <c r="AZ84" s="7" t="s">
        <v>222</v>
      </c>
      <c r="BA84" s="7" t="s">
        <v>178</v>
      </c>
      <c r="BB84" s="12">
        <v>-6406.72</v>
      </c>
      <c r="BC84" s="7" t="s">
        <v>12</v>
      </c>
      <c r="BD84" s="13">
        <v>1.37</v>
      </c>
      <c r="BE84" s="12">
        <v>-8777.2000000000007</v>
      </c>
      <c r="BF84" s="7" t="s">
        <v>178</v>
      </c>
      <c r="BG84" s="13">
        <v>2.85</v>
      </c>
      <c r="BH84" s="12">
        <v>-25015.02</v>
      </c>
      <c r="BI84" s="7"/>
      <c r="BJ84" s="13"/>
      <c r="BK84" s="12"/>
    </row>
    <row r="85" spans="1:63" x14ac:dyDescent="0.35">
      <c r="A85" s="7" t="s">
        <v>151</v>
      </c>
      <c r="B85" s="7" t="s">
        <v>152</v>
      </c>
      <c r="C85" s="7" t="s">
        <v>153</v>
      </c>
      <c r="D85" s="7"/>
      <c r="E85" s="7" t="s">
        <v>208</v>
      </c>
      <c r="F85" s="7" t="s">
        <v>203</v>
      </c>
      <c r="G85" s="7"/>
      <c r="H85" s="7"/>
      <c r="I85" s="7"/>
      <c r="J85" s="7"/>
      <c r="K85" s="7"/>
      <c r="L85" s="7" t="s">
        <v>155</v>
      </c>
      <c r="M85" s="7"/>
      <c r="N85" s="7"/>
      <c r="O85" s="7" t="s">
        <v>222</v>
      </c>
      <c r="P85" s="7" t="s">
        <v>223</v>
      </c>
      <c r="Q85" s="7" t="s">
        <v>204</v>
      </c>
      <c r="R85" s="7" t="s">
        <v>205</v>
      </c>
      <c r="S85" s="7" t="s">
        <v>206</v>
      </c>
      <c r="T85" s="7" t="s">
        <v>207</v>
      </c>
      <c r="U85" s="7"/>
      <c r="V85" s="7" t="s">
        <v>208</v>
      </c>
      <c r="W85" s="7" t="s">
        <v>163</v>
      </c>
      <c r="X85" s="7" t="s">
        <v>164</v>
      </c>
      <c r="Y85" s="7" t="s">
        <v>165</v>
      </c>
      <c r="Z85" s="7" t="s">
        <v>166</v>
      </c>
      <c r="AA85" s="7" t="s">
        <v>167</v>
      </c>
      <c r="AB85" s="7" t="s">
        <v>209</v>
      </c>
      <c r="AC85" s="7" t="s">
        <v>237</v>
      </c>
      <c r="AD85" s="7"/>
      <c r="AE85" s="7"/>
      <c r="AF85" s="7"/>
      <c r="AG85" s="7"/>
      <c r="AH85" s="7"/>
      <c r="AI85" s="7" t="s">
        <v>170</v>
      </c>
      <c r="AJ85" s="7" t="s">
        <v>171</v>
      </c>
      <c r="AK85" s="7" t="s">
        <v>172</v>
      </c>
      <c r="AL85" s="7"/>
      <c r="AM85" s="10">
        <v>2025</v>
      </c>
      <c r="AN85" s="10">
        <v>1</v>
      </c>
      <c r="AO85" s="9">
        <v>45688</v>
      </c>
      <c r="AP85" s="9">
        <v>45688</v>
      </c>
      <c r="AQ85" s="9">
        <v>45688</v>
      </c>
      <c r="AR85" s="7" t="s">
        <v>173</v>
      </c>
      <c r="AS85" s="7" t="s">
        <v>225</v>
      </c>
      <c r="AT85" s="7" t="s">
        <v>228</v>
      </c>
      <c r="AU85" s="7" t="s">
        <v>222</v>
      </c>
      <c r="AV85" s="7"/>
      <c r="AW85" s="7"/>
      <c r="AX85" s="7"/>
      <c r="AY85" s="7" t="s">
        <v>181</v>
      </c>
      <c r="AZ85" s="7" t="s">
        <v>222</v>
      </c>
      <c r="BA85" s="7" t="s">
        <v>178</v>
      </c>
      <c r="BB85" s="12">
        <v>6406.72</v>
      </c>
      <c r="BC85" s="7" t="s">
        <v>12</v>
      </c>
      <c r="BD85" s="13">
        <v>1.37</v>
      </c>
      <c r="BE85" s="12">
        <v>8777.2000000000007</v>
      </c>
      <c r="BF85" s="7" t="s">
        <v>178</v>
      </c>
      <c r="BG85" s="13">
        <v>2.85</v>
      </c>
      <c r="BH85" s="12">
        <v>25015.02</v>
      </c>
      <c r="BI85" s="7"/>
      <c r="BJ85" s="13"/>
      <c r="BK85" s="12"/>
    </row>
    <row r="86" spans="1:63" x14ac:dyDescent="0.35">
      <c r="A86" s="7" t="s">
        <v>151</v>
      </c>
      <c r="B86" s="7" t="s">
        <v>152</v>
      </c>
      <c r="C86" s="7" t="s">
        <v>153</v>
      </c>
      <c r="D86" s="7"/>
      <c r="E86" s="7"/>
      <c r="F86" s="7" t="s">
        <v>154</v>
      </c>
      <c r="G86" s="7"/>
      <c r="H86" s="7"/>
      <c r="I86" s="7"/>
      <c r="J86" s="7"/>
      <c r="K86" s="7"/>
      <c r="L86" s="7" t="s">
        <v>155</v>
      </c>
      <c r="M86" s="7"/>
      <c r="N86" s="7"/>
      <c r="O86" s="7" t="s">
        <v>191</v>
      </c>
      <c r="P86" s="7" t="s">
        <v>192</v>
      </c>
      <c r="Q86" s="7" t="s">
        <v>158</v>
      </c>
      <c r="R86" s="7" t="s">
        <v>159</v>
      </c>
      <c r="S86" s="7" t="s">
        <v>160</v>
      </c>
      <c r="T86" s="7" t="s">
        <v>161</v>
      </c>
      <c r="U86" s="7"/>
      <c r="V86" s="7" t="s">
        <v>162</v>
      </c>
      <c r="W86" s="7" t="s">
        <v>163</v>
      </c>
      <c r="X86" s="7" t="s">
        <v>164</v>
      </c>
      <c r="Y86" s="7" t="s">
        <v>165</v>
      </c>
      <c r="Z86" s="7" t="s">
        <v>166</v>
      </c>
      <c r="AA86" s="7" t="s">
        <v>167</v>
      </c>
      <c r="AB86" s="7" t="s">
        <v>168</v>
      </c>
      <c r="AC86" s="7" t="s">
        <v>266</v>
      </c>
      <c r="AD86" s="7"/>
      <c r="AE86" s="7"/>
      <c r="AF86" s="7"/>
      <c r="AG86" s="7"/>
      <c r="AH86" s="7"/>
      <c r="AI86" s="7" t="s">
        <v>170</v>
      </c>
      <c r="AJ86" s="7" t="s">
        <v>171</v>
      </c>
      <c r="AK86" s="7" t="s">
        <v>172</v>
      </c>
      <c r="AL86" s="7"/>
      <c r="AM86" s="10">
        <v>2025</v>
      </c>
      <c r="AN86" s="10">
        <v>2</v>
      </c>
      <c r="AO86" s="9">
        <v>45689</v>
      </c>
      <c r="AP86" s="9">
        <v>45689</v>
      </c>
      <c r="AQ86" s="9">
        <v>45689</v>
      </c>
      <c r="AR86" s="7" t="s">
        <v>194</v>
      </c>
      <c r="AS86" s="7"/>
      <c r="AT86" s="7" t="s">
        <v>195</v>
      </c>
      <c r="AU86" s="7" t="s">
        <v>196</v>
      </c>
      <c r="AV86" s="7"/>
      <c r="AW86" s="7"/>
      <c r="AX86" s="7"/>
      <c r="AY86" s="7" t="s">
        <v>176</v>
      </c>
      <c r="AZ86" s="7" t="s">
        <v>191</v>
      </c>
      <c r="BA86" s="7" t="s">
        <v>9</v>
      </c>
      <c r="BB86" s="12">
        <v>-8000</v>
      </c>
      <c r="BC86" s="7" t="s">
        <v>12</v>
      </c>
      <c r="BD86" s="13">
        <v>1.54</v>
      </c>
      <c r="BE86" s="12">
        <v>-12320</v>
      </c>
      <c r="BF86" s="7" t="s">
        <v>178</v>
      </c>
      <c r="BG86" s="13">
        <v>2.85</v>
      </c>
      <c r="BH86" s="12">
        <v>-35112</v>
      </c>
      <c r="BI86" s="7"/>
      <c r="BJ86" s="13"/>
      <c r="BK86" s="12"/>
    </row>
    <row r="87" spans="1:63" x14ac:dyDescent="0.35">
      <c r="A87" s="7" t="s">
        <v>151</v>
      </c>
      <c r="B87" s="7" t="s">
        <v>152</v>
      </c>
      <c r="C87" s="7" t="s">
        <v>153</v>
      </c>
      <c r="D87" s="7"/>
      <c r="E87" s="7"/>
      <c r="F87" s="7" t="s">
        <v>154</v>
      </c>
      <c r="G87" s="7"/>
      <c r="H87" s="7"/>
      <c r="I87" s="7"/>
      <c r="J87" s="7"/>
      <c r="K87" s="7"/>
      <c r="L87" s="7" t="s">
        <v>155</v>
      </c>
      <c r="M87" s="7"/>
      <c r="N87" s="7"/>
      <c r="O87" s="7" t="s">
        <v>191</v>
      </c>
      <c r="P87" s="7" t="s">
        <v>192</v>
      </c>
      <c r="Q87" s="7" t="s">
        <v>158</v>
      </c>
      <c r="R87" s="7" t="s">
        <v>159</v>
      </c>
      <c r="S87" s="7" t="s">
        <v>160</v>
      </c>
      <c r="T87" s="7" t="s">
        <v>161</v>
      </c>
      <c r="U87" s="7"/>
      <c r="V87" s="7" t="s">
        <v>162</v>
      </c>
      <c r="W87" s="7" t="s">
        <v>163</v>
      </c>
      <c r="X87" s="7" t="s">
        <v>164</v>
      </c>
      <c r="Y87" s="7" t="s">
        <v>165</v>
      </c>
      <c r="Z87" s="7" t="s">
        <v>166</v>
      </c>
      <c r="AA87" s="7" t="s">
        <v>167</v>
      </c>
      <c r="AB87" s="7" t="s">
        <v>168</v>
      </c>
      <c r="AC87" s="7" t="s">
        <v>266</v>
      </c>
      <c r="AD87" s="7"/>
      <c r="AE87" s="7"/>
      <c r="AF87" s="7"/>
      <c r="AG87" s="7"/>
      <c r="AH87" s="7"/>
      <c r="AI87" s="7" t="s">
        <v>170</v>
      </c>
      <c r="AJ87" s="7" t="s">
        <v>171</v>
      </c>
      <c r="AK87" s="7" t="s">
        <v>172</v>
      </c>
      <c r="AL87" s="7"/>
      <c r="AM87" s="10">
        <v>2025</v>
      </c>
      <c r="AN87" s="10">
        <v>2</v>
      </c>
      <c r="AO87" s="9">
        <v>45689</v>
      </c>
      <c r="AP87" s="9">
        <v>45689</v>
      </c>
      <c r="AQ87" s="9">
        <v>45689</v>
      </c>
      <c r="AR87" s="7" t="s">
        <v>194</v>
      </c>
      <c r="AS87" s="7"/>
      <c r="AT87" s="7" t="s">
        <v>195</v>
      </c>
      <c r="AU87" s="7" t="s">
        <v>196</v>
      </c>
      <c r="AV87" s="7"/>
      <c r="AW87" s="7"/>
      <c r="AX87" s="7"/>
      <c r="AY87" s="7" t="s">
        <v>176</v>
      </c>
      <c r="AZ87" s="7" t="s">
        <v>191</v>
      </c>
      <c r="BA87" s="7" t="s">
        <v>9</v>
      </c>
      <c r="BB87" s="12">
        <v>-900</v>
      </c>
      <c r="BC87" s="7" t="s">
        <v>12</v>
      </c>
      <c r="BD87" s="13">
        <v>1.54</v>
      </c>
      <c r="BE87" s="12">
        <v>-1386</v>
      </c>
      <c r="BF87" s="7" t="s">
        <v>178</v>
      </c>
      <c r="BG87" s="13">
        <v>2.85</v>
      </c>
      <c r="BH87" s="12">
        <v>-3950.1</v>
      </c>
      <c r="BI87" s="7"/>
      <c r="BJ87" s="13"/>
      <c r="BK87" s="12"/>
    </row>
    <row r="88" spans="1:63" x14ac:dyDescent="0.35">
      <c r="A88" s="7" t="s">
        <v>151</v>
      </c>
      <c r="B88" s="7" t="s">
        <v>152</v>
      </c>
      <c r="C88" s="7" t="s">
        <v>153</v>
      </c>
      <c r="D88" s="7"/>
      <c r="E88" s="7"/>
      <c r="F88" s="7" t="s">
        <v>154</v>
      </c>
      <c r="G88" s="7"/>
      <c r="H88" s="7"/>
      <c r="I88" s="7"/>
      <c r="J88" s="7"/>
      <c r="K88" s="7"/>
      <c r="L88" s="7" t="s">
        <v>155</v>
      </c>
      <c r="M88" s="7"/>
      <c r="N88" s="7"/>
      <c r="O88" s="7" t="s">
        <v>191</v>
      </c>
      <c r="P88" s="7" t="s">
        <v>192</v>
      </c>
      <c r="Q88" s="7" t="s">
        <v>158</v>
      </c>
      <c r="R88" s="7" t="s">
        <v>159</v>
      </c>
      <c r="S88" s="7" t="s">
        <v>160</v>
      </c>
      <c r="T88" s="7" t="s">
        <v>161</v>
      </c>
      <c r="U88" s="7"/>
      <c r="V88" s="7" t="s">
        <v>162</v>
      </c>
      <c r="W88" s="7" t="s">
        <v>163</v>
      </c>
      <c r="X88" s="7" t="s">
        <v>164</v>
      </c>
      <c r="Y88" s="7" t="s">
        <v>165</v>
      </c>
      <c r="Z88" s="7" t="s">
        <v>166</v>
      </c>
      <c r="AA88" s="7" t="s">
        <v>167</v>
      </c>
      <c r="AB88" s="7" t="s">
        <v>168</v>
      </c>
      <c r="AC88" s="7" t="s">
        <v>266</v>
      </c>
      <c r="AD88" s="7"/>
      <c r="AE88" s="7"/>
      <c r="AF88" s="7"/>
      <c r="AG88" s="7"/>
      <c r="AH88" s="7"/>
      <c r="AI88" s="7" t="s">
        <v>170</v>
      </c>
      <c r="AJ88" s="7" t="s">
        <v>171</v>
      </c>
      <c r="AK88" s="7" t="s">
        <v>172</v>
      </c>
      <c r="AL88" s="7"/>
      <c r="AM88" s="10">
        <v>2025</v>
      </c>
      <c r="AN88" s="10">
        <v>2</v>
      </c>
      <c r="AO88" s="9">
        <v>45689</v>
      </c>
      <c r="AP88" s="9">
        <v>45689</v>
      </c>
      <c r="AQ88" s="9">
        <v>45689</v>
      </c>
      <c r="AR88" s="7" t="s">
        <v>194</v>
      </c>
      <c r="AS88" s="7"/>
      <c r="AT88" s="7" t="s">
        <v>211</v>
      </c>
      <c r="AU88" s="7" t="s">
        <v>212</v>
      </c>
      <c r="AV88" s="7"/>
      <c r="AW88" s="7"/>
      <c r="AX88" s="7"/>
      <c r="AY88" s="7" t="s">
        <v>181</v>
      </c>
      <c r="AZ88" s="7" t="s">
        <v>191</v>
      </c>
      <c r="BA88" s="7" t="s">
        <v>9</v>
      </c>
      <c r="BB88" s="12">
        <v>181.81</v>
      </c>
      <c r="BC88" s="7" t="s">
        <v>12</v>
      </c>
      <c r="BD88" s="13">
        <v>1.54</v>
      </c>
      <c r="BE88" s="12">
        <v>279.99</v>
      </c>
      <c r="BF88" s="7" t="s">
        <v>178</v>
      </c>
      <c r="BG88" s="13">
        <v>2.85</v>
      </c>
      <c r="BH88" s="12">
        <v>797.97</v>
      </c>
      <c r="BI88" s="7"/>
      <c r="BJ88" s="13"/>
      <c r="BK88" s="12"/>
    </row>
    <row r="89" spans="1:63" x14ac:dyDescent="0.35">
      <c r="A89" s="7" t="s">
        <v>151</v>
      </c>
      <c r="B89" s="7" t="s">
        <v>152</v>
      </c>
      <c r="C89" s="7" t="s">
        <v>153</v>
      </c>
      <c r="D89" s="7"/>
      <c r="E89" s="7" t="s">
        <v>162</v>
      </c>
      <c r="F89" s="7" t="s">
        <v>154</v>
      </c>
      <c r="G89" s="7"/>
      <c r="H89" s="7"/>
      <c r="I89" s="7"/>
      <c r="J89" s="7"/>
      <c r="K89" s="7"/>
      <c r="L89" s="7" t="s">
        <v>155</v>
      </c>
      <c r="M89" s="7"/>
      <c r="N89" s="7"/>
      <c r="O89" s="7" t="s">
        <v>191</v>
      </c>
      <c r="P89" s="7" t="s">
        <v>192</v>
      </c>
      <c r="Q89" s="7" t="s">
        <v>158</v>
      </c>
      <c r="R89" s="7" t="s">
        <v>159</v>
      </c>
      <c r="S89" s="7" t="s">
        <v>160</v>
      </c>
      <c r="T89" s="7" t="s">
        <v>161</v>
      </c>
      <c r="U89" s="7"/>
      <c r="V89" s="7" t="s">
        <v>162</v>
      </c>
      <c r="W89" s="7" t="s">
        <v>163</v>
      </c>
      <c r="X89" s="7" t="s">
        <v>164</v>
      </c>
      <c r="Y89" s="7" t="s">
        <v>165</v>
      </c>
      <c r="Z89" s="7" t="s">
        <v>166</v>
      </c>
      <c r="AA89" s="7" t="s">
        <v>167</v>
      </c>
      <c r="AB89" s="7" t="s">
        <v>168</v>
      </c>
      <c r="AC89" s="7" t="s">
        <v>266</v>
      </c>
      <c r="AD89" s="7"/>
      <c r="AE89" s="7"/>
      <c r="AF89" s="7"/>
      <c r="AG89" s="7"/>
      <c r="AH89" s="7"/>
      <c r="AI89" s="7" t="s">
        <v>170</v>
      </c>
      <c r="AJ89" s="7" t="s">
        <v>171</v>
      </c>
      <c r="AK89" s="7" t="s">
        <v>172</v>
      </c>
      <c r="AL89" s="7"/>
      <c r="AM89" s="10">
        <v>2025</v>
      </c>
      <c r="AN89" s="10">
        <v>2</v>
      </c>
      <c r="AO89" s="9">
        <v>45689</v>
      </c>
      <c r="AP89" s="9">
        <v>45689</v>
      </c>
      <c r="AQ89" s="9">
        <v>45689</v>
      </c>
      <c r="AR89" s="7" t="s">
        <v>194</v>
      </c>
      <c r="AS89" s="7"/>
      <c r="AT89" s="7" t="s">
        <v>197</v>
      </c>
      <c r="AU89" s="7" t="s">
        <v>198</v>
      </c>
      <c r="AV89" s="7"/>
      <c r="AW89" s="7"/>
      <c r="AX89" s="7"/>
      <c r="AY89" s="7" t="s">
        <v>181</v>
      </c>
      <c r="AZ89" s="7" t="s">
        <v>191</v>
      </c>
      <c r="BA89" s="7" t="s">
        <v>9</v>
      </c>
      <c r="BB89" s="12">
        <v>7818.19</v>
      </c>
      <c r="BC89" s="7" t="s">
        <v>12</v>
      </c>
      <c r="BD89" s="13">
        <v>1.54</v>
      </c>
      <c r="BE89" s="12">
        <v>12040.01</v>
      </c>
      <c r="BF89" s="7" t="s">
        <v>178</v>
      </c>
      <c r="BG89" s="13">
        <v>2.85</v>
      </c>
      <c r="BH89" s="12">
        <v>34314.03</v>
      </c>
      <c r="BI89" s="7"/>
      <c r="BJ89" s="13"/>
      <c r="BK89" s="12"/>
    </row>
    <row r="90" spans="1:63" x14ac:dyDescent="0.35">
      <c r="A90" s="7" t="s">
        <v>151</v>
      </c>
      <c r="B90" s="7" t="s">
        <v>152</v>
      </c>
      <c r="C90" s="7" t="s">
        <v>153</v>
      </c>
      <c r="D90" s="7"/>
      <c r="E90" s="7"/>
      <c r="F90" s="7" t="s">
        <v>154</v>
      </c>
      <c r="G90" s="7"/>
      <c r="H90" s="7"/>
      <c r="I90" s="7"/>
      <c r="J90" s="7"/>
      <c r="K90" s="7"/>
      <c r="L90" s="7" t="s">
        <v>155</v>
      </c>
      <c r="M90" s="7"/>
      <c r="N90" s="7"/>
      <c r="O90" s="7" t="s">
        <v>191</v>
      </c>
      <c r="P90" s="7" t="s">
        <v>192</v>
      </c>
      <c r="Q90" s="7" t="s">
        <v>158</v>
      </c>
      <c r="R90" s="7" t="s">
        <v>159</v>
      </c>
      <c r="S90" s="7" t="s">
        <v>160</v>
      </c>
      <c r="T90" s="7" t="s">
        <v>161</v>
      </c>
      <c r="U90" s="7"/>
      <c r="V90" s="7" t="s">
        <v>162</v>
      </c>
      <c r="W90" s="7" t="s">
        <v>163</v>
      </c>
      <c r="X90" s="7" t="s">
        <v>164</v>
      </c>
      <c r="Y90" s="7" t="s">
        <v>165</v>
      </c>
      <c r="Z90" s="7" t="s">
        <v>166</v>
      </c>
      <c r="AA90" s="7" t="s">
        <v>167</v>
      </c>
      <c r="AB90" s="7" t="s">
        <v>168</v>
      </c>
      <c r="AC90" s="7" t="s">
        <v>266</v>
      </c>
      <c r="AD90" s="7"/>
      <c r="AE90" s="7"/>
      <c r="AF90" s="7"/>
      <c r="AG90" s="7"/>
      <c r="AH90" s="7"/>
      <c r="AI90" s="7" t="s">
        <v>170</v>
      </c>
      <c r="AJ90" s="7" t="s">
        <v>171</v>
      </c>
      <c r="AK90" s="7" t="s">
        <v>172</v>
      </c>
      <c r="AL90" s="7"/>
      <c r="AM90" s="10">
        <v>2025</v>
      </c>
      <c r="AN90" s="10">
        <v>2</v>
      </c>
      <c r="AO90" s="9">
        <v>45689</v>
      </c>
      <c r="AP90" s="9">
        <v>45689</v>
      </c>
      <c r="AQ90" s="9">
        <v>45689</v>
      </c>
      <c r="AR90" s="7" t="s">
        <v>194</v>
      </c>
      <c r="AS90" s="7"/>
      <c r="AT90" s="7" t="s">
        <v>199</v>
      </c>
      <c r="AU90" s="7" t="s">
        <v>200</v>
      </c>
      <c r="AV90" s="7"/>
      <c r="AW90" s="7"/>
      <c r="AX90" s="7"/>
      <c r="AY90" s="7" t="s">
        <v>181</v>
      </c>
      <c r="AZ90" s="7" t="s">
        <v>191</v>
      </c>
      <c r="BA90" s="7" t="s">
        <v>9</v>
      </c>
      <c r="BB90" s="12">
        <v>900</v>
      </c>
      <c r="BC90" s="7" t="s">
        <v>12</v>
      </c>
      <c r="BD90" s="13">
        <v>1.54</v>
      </c>
      <c r="BE90" s="12">
        <v>1386</v>
      </c>
      <c r="BF90" s="7" t="s">
        <v>178</v>
      </c>
      <c r="BG90" s="13">
        <v>2.85</v>
      </c>
      <c r="BH90" s="12">
        <v>3950.1</v>
      </c>
      <c r="BI90" s="7"/>
      <c r="BJ90" s="13"/>
      <c r="BK90" s="12"/>
    </row>
    <row r="91" spans="1:63" x14ac:dyDescent="0.35">
      <c r="A91" s="7" t="s">
        <v>151</v>
      </c>
      <c r="B91" s="7" t="s">
        <v>152</v>
      </c>
      <c r="C91" s="7" t="s">
        <v>153</v>
      </c>
      <c r="D91" s="7"/>
      <c r="E91" s="7"/>
      <c r="F91" s="7" t="s">
        <v>154</v>
      </c>
      <c r="G91" s="7"/>
      <c r="H91" s="7"/>
      <c r="I91" s="7"/>
      <c r="J91" s="7"/>
      <c r="K91" s="7"/>
      <c r="L91" s="7" t="s">
        <v>155</v>
      </c>
      <c r="M91" s="7"/>
      <c r="N91" s="7"/>
      <c r="O91" s="7" t="s">
        <v>191</v>
      </c>
      <c r="P91" s="7" t="s">
        <v>192</v>
      </c>
      <c r="Q91" s="7" t="s">
        <v>158</v>
      </c>
      <c r="R91" s="7" t="s">
        <v>159</v>
      </c>
      <c r="S91" s="7" t="s">
        <v>160</v>
      </c>
      <c r="T91" s="7" t="s">
        <v>161</v>
      </c>
      <c r="U91" s="7"/>
      <c r="V91" s="7" t="s">
        <v>162</v>
      </c>
      <c r="W91" s="7" t="s">
        <v>163</v>
      </c>
      <c r="X91" s="7" t="s">
        <v>164</v>
      </c>
      <c r="Y91" s="7" t="s">
        <v>187</v>
      </c>
      <c r="Z91" s="7" t="s">
        <v>188</v>
      </c>
      <c r="AA91" s="7" t="s">
        <v>167</v>
      </c>
      <c r="AB91" s="7" t="s">
        <v>168</v>
      </c>
      <c r="AC91" s="7" t="s">
        <v>267</v>
      </c>
      <c r="AD91" s="7"/>
      <c r="AE91" s="7"/>
      <c r="AF91" s="7"/>
      <c r="AG91" s="7"/>
      <c r="AH91" s="7"/>
      <c r="AI91" s="7" t="s">
        <v>170</v>
      </c>
      <c r="AJ91" s="7" t="s">
        <v>171</v>
      </c>
      <c r="AK91" s="7" t="s">
        <v>172</v>
      </c>
      <c r="AL91" s="7"/>
      <c r="AM91" s="10">
        <v>2025</v>
      </c>
      <c r="AN91" s="10">
        <v>2</v>
      </c>
      <c r="AO91" s="9">
        <v>45689</v>
      </c>
      <c r="AP91" s="9">
        <v>45689</v>
      </c>
      <c r="AQ91" s="9">
        <v>45689</v>
      </c>
      <c r="AR91" s="7" t="s">
        <v>194</v>
      </c>
      <c r="AS91" s="7"/>
      <c r="AT91" s="7" t="s">
        <v>195</v>
      </c>
      <c r="AU91" s="7" t="s">
        <v>196</v>
      </c>
      <c r="AV91" s="7"/>
      <c r="AW91" s="7"/>
      <c r="AX91" s="7"/>
      <c r="AY91" s="7" t="s">
        <v>176</v>
      </c>
      <c r="AZ91" s="7" t="s">
        <v>191</v>
      </c>
      <c r="BA91" s="7" t="s">
        <v>9</v>
      </c>
      <c r="BB91" s="12">
        <v>-8000</v>
      </c>
      <c r="BC91" s="7" t="s">
        <v>12</v>
      </c>
      <c r="BD91" s="13">
        <v>1.54</v>
      </c>
      <c r="BE91" s="12">
        <v>-12320</v>
      </c>
      <c r="BF91" s="7" t="s">
        <v>178</v>
      </c>
      <c r="BG91" s="13">
        <v>2.85</v>
      </c>
      <c r="BH91" s="12">
        <v>-35112</v>
      </c>
      <c r="BI91" s="7"/>
      <c r="BJ91" s="13"/>
      <c r="BK91" s="12"/>
    </row>
    <row r="92" spans="1:63" x14ac:dyDescent="0.35">
      <c r="A92" s="7" t="s">
        <v>151</v>
      </c>
      <c r="B92" s="7" t="s">
        <v>152</v>
      </c>
      <c r="C92" s="7" t="s">
        <v>153</v>
      </c>
      <c r="D92" s="7"/>
      <c r="E92" s="7"/>
      <c r="F92" s="7" t="s">
        <v>154</v>
      </c>
      <c r="G92" s="7"/>
      <c r="H92" s="7"/>
      <c r="I92" s="7"/>
      <c r="J92" s="7"/>
      <c r="K92" s="7"/>
      <c r="L92" s="7" t="s">
        <v>155</v>
      </c>
      <c r="M92" s="7"/>
      <c r="N92" s="7"/>
      <c r="O92" s="7" t="s">
        <v>191</v>
      </c>
      <c r="P92" s="7" t="s">
        <v>192</v>
      </c>
      <c r="Q92" s="7" t="s">
        <v>158</v>
      </c>
      <c r="R92" s="7" t="s">
        <v>159</v>
      </c>
      <c r="S92" s="7" t="s">
        <v>160</v>
      </c>
      <c r="T92" s="7" t="s">
        <v>161</v>
      </c>
      <c r="U92" s="7"/>
      <c r="V92" s="7" t="s">
        <v>162</v>
      </c>
      <c r="W92" s="7" t="s">
        <v>163</v>
      </c>
      <c r="X92" s="7" t="s">
        <v>164</v>
      </c>
      <c r="Y92" s="7" t="s">
        <v>187</v>
      </c>
      <c r="Z92" s="7" t="s">
        <v>188</v>
      </c>
      <c r="AA92" s="7" t="s">
        <v>167</v>
      </c>
      <c r="AB92" s="7" t="s">
        <v>168</v>
      </c>
      <c r="AC92" s="7" t="s">
        <v>267</v>
      </c>
      <c r="AD92" s="7"/>
      <c r="AE92" s="7"/>
      <c r="AF92" s="7"/>
      <c r="AG92" s="7"/>
      <c r="AH92" s="7"/>
      <c r="AI92" s="7" t="s">
        <v>170</v>
      </c>
      <c r="AJ92" s="7" t="s">
        <v>171</v>
      </c>
      <c r="AK92" s="7" t="s">
        <v>172</v>
      </c>
      <c r="AL92" s="7"/>
      <c r="AM92" s="10">
        <v>2025</v>
      </c>
      <c r="AN92" s="10">
        <v>2</v>
      </c>
      <c r="AO92" s="9">
        <v>45689</v>
      </c>
      <c r="AP92" s="9">
        <v>45689</v>
      </c>
      <c r="AQ92" s="9">
        <v>45689</v>
      </c>
      <c r="AR92" s="7" t="s">
        <v>194</v>
      </c>
      <c r="AS92" s="7"/>
      <c r="AT92" s="7" t="s">
        <v>195</v>
      </c>
      <c r="AU92" s="7" t="s">
        <v>196</v>
      </c>
      <c r="AV92" s="7"/>
      <c r="AW92" s="7"/>
      <c r="AX92" s="7"/>
      <c r="AY92" s="7" t="s">
        <v>176</v>
      </c>
      <c r="AZ92" s="7" t="s">
        <v>191</v>
      </c>
      <c r="BA92" s="7" t="s">
        <v>9</v>
      </c>
      <c r="BB92" s="12">
        <v>-900</v>
      </c>
      <c r="BC92" s="7" t="s">
        <v>12</v>
      </c>
      <c r="BD92" s="13">
        <v>1.54</v>
      </c>
      <c r="BE92" s="12">
        <v>-1386</v>
      </c>
      <c r="BF92" s="7" t="s">
        <v>178</v>
      </c>
      <c r="BG92" s="13">
        <v>2.85</v>
      </c>
      <c r="BH92" s="12">
        <v>-3950.1</v>
      </c>
      <c r="BI92" s="7"/>
      <c r="BJ92" s="13"/>
      <c r="BK92" s="12"/>
    </row>
    <row r="93" spans="1:63" x14ac:dyDescent="0.35">
      <c r="A93" s="7" t="s">
        <v>151</v>
      </c>
      <c r="B93" s="7" t="s">
        <v>152</v>
      </c>
      <c r="C93" s="7" t="s">
        <v>153</v>
      </c>
      <c r="D93" s="7"/>
      <c r="E93" s="7"/>
      <c r="F93" s="7" t="s">
        <v>154</v>
      </c>
      <c r="G93" s="7"/>
      <c r="H93" s="7"/>
      <c r="I93" s="7"/>
      <c r="J93" s="7"/>
      <c r="K93" s="7"/>
      <c r="L93" s="7" t="s">
        <v>155</v>
      </c>
      <c r="M93" s="7"/>
      <c r="N93" s="7"/>
      <c r="O93" s="7" t="s">
        <v>191</v>
      </c>
      <c r="P93" s="7" t="s">
        <v>192</v>
      </c>
      <c r="Q93" s="7" t="s">
        <v>158</v>
      </c>
      <c r="R93" s="7" t="s">
        <v>159</v>
      </c>
      <c r="S93" s="7" t="s">
        <v>160</v>
      </c>
      <c r="T93" s="7" t="s">
        <v>161</v>
      </c>
      <c r="U93" s="7"/>
      <c r="V93" s="7" t="s">
        <v>162</v>
      </c>
      <c r="W93" s="7" t="s">
        <v>163</v>
      </c>
      <c r="X93" s="7" t="s">
        <v>164</v>
      </c>
      <c r="Y93" s="7" t="s">
        <v>187</v>
      </c>
      <c r="Z93" s="7" t="s">
        <v>188</v>
      </c>
      <c r="AA93" s="7" t="s">
        <v>167</v>
      </c>
      <c r="AB93" s="7" t="s">
        <v>168</v>
      </c>
      <c r="AC93" s="7" t="s">
        <v>267</v>
      </c>
      <c r="AD93" s="7"/>
      <c r="AE93" s="7"/>
      <c r="AF93" s="7"/>
      <c r="AG93" s="7"/>
      <c r="AH93" s="7"/>
      <c r="AI93" s="7" t="s">
        <v>170</v>
      </c>
      <c r="AJ93" s="7" t="s">
        <v>171</v>
      </c>
      <c r="AK93" s="7" t="s">
        <v>172</v>
      </c>
      <c r="AL93" s="7"/>
      <c r="AM93" s="10">
        <v>2025</v>
      </c>
      <c r="AN93" s="10">
        <v>2</v>
      </c>
      <c r="AO93" s="9">
        <v>45689</v>
      </c>
      <c r="AP93" s="9">
        <v>45689</v>
      </c>
      <c r="AQ93" s="9">
        <v>45689</v>
      </c>
      <c r="AR93" s="7" t="s">
        <v>194</v>
      </c>
      <c r="AS93" s="7"/>
      <c r="AT93" s="7" t="s">
        <v>211</v>
      </c>
      <c r="AU93" s="7" t="s">
        <v>212</v>
      </c>
      <c r="AV93" s="7"/>
      <c r="AW93" s="7"/>
      <c r="AX93" s="7"/>
      <c r="AY93" s="7" t="s">
        <v>181</v>
      </c>
      <c r="AZ93" s="7" t="s">
        <v>191</v>
      </c>
      <c r="BA93" s="7" t="s">
        <v>9</v>
      </c>
      <c r="BB93" s="12">
        <v>181.81</v>
      </c>
      <c r="BC93" s="7" t="s">
        <v>12</v>
      </c>
      <c r="BD93" s="13">
        <v>1.54</v>
      </c>
      <c r="BE93" s="12">
        <v>279.99</v>
      </c>
      <c r="BF93" s="7" t="s">
        <v>178</v>
      </c>
      <c r="BG93" s="13">
        <v>2.85</v>
      </c>
      <c r="BH93" s="12">
        <v>797.97</v>
      </c>
      <c r="BI93" s="7"/>
      <c r="BJ93" s="13"/>
      <c r="BK93" s="12"/>
    </row>
    <row r="94" spans="1:63" x14ac:dyDescent="0.35">
      <c r="A94" s="7" t="s">
        <v>151</v>
      </c>
      <c r="B94" s="7" t="s">
        <v>152</v>
      </c>
      <c r="C94" s="7" t="s">
        <v>153</v>
      </c>
      <c r="D94" s="7"/>
      <c r="E94" s="7" t="s">
        <v>162</v>
      </c>
      <c r="F94" s="7" t="s">
        <v>154</v>
      </c>
      <c r="G94" s="7"/>
      <c r="H94" s="7"/>
      <c r="I94" s="7"/>
      <c r="J94" s="7"/>
      <c r="K94" s="7"/>
      <c r="L94" s="7" t="s">
        <v>155</v>
      </c>
      <c r="M94" s="7"/>
      <c r="N94" s="7"/>
      <c r="O94" s="7" t="s">
        <v>191</v>
      </c>
      <c r="P94" s="7" t="s">
        <v>192</v>
      </c>
      <c r="Q94" s="7" t="s">
        <v>158</v>
      </c>
      <c r="R94" s="7" t="s">
        <v>159</v>
      </c>
      <c r="S94" s="7" t="s">
        <v>160</v>
      </c>
      <c r="T94" s="7" t="s">
        <v>161</v>
      </c>
      <c r="U94" s="7"/>
      <c r="V94" s="7" t="s">
        <v>162</v>
      </c>
      <c r="W94" s="7" t="s">
        <v>163</v>
      </c>
      <c r="X94" s="7" t="s">
        <v>164</v>
      </c>
      <c r="Y94" s="7" t="s">
        <v>187</v>
      </c>
      <c r="Z94" s="7" t="s">
        <v>188</v>
      </c>
      <c r="AA94" s="7" t="s">
        <v>167</v>
      </c>
      <c r="AB94" s="7" t="s">
        <v>168</v>
      </c>
      <c r="AC94" s="7" t="s">
        <v>267</v>
      </c>
      <c r="AD94" s="7"/>
      <c r="AE94" s="7"/>
      <c r="AF94" s="7"/>
      <c r="AG94" s="7"/>
      <c r="AH94" s="7"/>
      <c r="AI94" s="7" t="s">
        <v>170</v>
      </c>
      <c r="AJ94" s="7" t="s">
        <v>171</v>
      </c>
      <c r="AK94" s="7" t="s">
        <v>172</v>
      </c>
      <c r="AL94" s="7"/>
      <c r="AM94" s="10">
        <v>2025</v>
      </c>
      <c r="AN94" s="10">
        <v>2</v>
      </c>
      <c r="AO94" s="9">
        <v>45689</v>
      </c>
      <c r="AP94" s="9">
        <v>45689</v>
      </c>
      <c r="AQ94" s="9">
        <v>45689</v>
      </c>
      <c r="AR94" s="7" t="s">
        <v>194</v>
      </c>
      <c r="AS94" s="7"/>
      <c r="AT94" s="7" t="s">
        <v>197</v>
      </c>
      <c r="AU94" s="7" t="s">
        <v>198</v>
      </c>
      <c r="AV94" s="7"/>
      <c r="AW94" s="7"/>
      <c r="AX94" s="7"/>
      <c r="AY94" s="7" t="s">
        <v>181</v>
      </c>
      <c r="AZ94" s="7" t="s">
        <v>191</v>
      </c>
      <c r="BA94" s="7" t="s">
        <v>9</v>
      </c>
      <c r="BB94" s="12">
        <v>7818.19</v>
      </c>
      <c r="BC94" s="7" t="s">
        <v>12</v>
      </c>
      <c r="BD94" s="13">
        <v>1.54</v>
      </c>
      <c r="BE94" s="12">
        <v>12040.01</v>
      </c>
      <c r="BF94" s="7" t="s">
        <v>178</v>
      </c>
      <c r="BG94" s="13">
        <v>2.85</v>
      </c>
      <c r="BH94" s="12">
        <v>34314.03</v>
      </c>
      <c r="BI94" s="7"/>
      <c r="BJ94" s="13"/>
      <c r="BK94" s="12"/>
    </row>
    <row r="95" spans="1:63" x14ac:dyDescent="0.35">
      <c r="A95" s="7" t="s">
        <v>151</v>
      </c>
      <c r="B95" s="7" t="s">
        <v>152</v>
      </c>
      <c r="C95" s="7" t="s">
        <v>153</v>
      </c>
      <c r="D95" s="7"/>
      <c r="E95" s="7"/>
      <c r="F95" s="7" t="s">
        <v>154</v>
      </c>
      <c r="G95" s="7"/>
      <c r="H95" s="7"/>
      <c r="I95" s="7"/>
      <c r="J95" s="7"/>
      <c r="K95" s="7"/>
      <c r="L95" s="7" t="s">
        <v>155</v>
      </c>
      <c r="M95" s="7"/>
      <c r="N95" s="7"/>
      <c r="O95" s="7" t="s">
        <v>191</v>
      </c>
      <c r="P95" s="7" t="s">
        <v>192</v>
      </c>
      <c r="Q95" s="7" t="s">
        <v>158</v>
      </c>
      <c r="R95" s="7" t="s">
        <v>159</v>
      </c>
      <c r="S95" s="7" t="s">
        <v>160</v>
      </c>
      <c r="T95" s="7" t="s">
        <v>161</v>
      </c>
      <c r="U95" s="7"/>
      <c r="V95" s="7" t="s">
        <v>162</v>
      </c>
      <c r="W95" s="7" t="s">
        <v>163</v>
      </c>
      <c r="X95" s="7" t="s">
        <v>164</v>
      </c>
      <c r="Y95" s="7" t="s">
        <v>187</v>
      </c>
      <c r="Z95" s="7" t="s">
        <v>188</v>
      </c>
      <c r="AA95" s="7" t="s">
        <v>167</v>
      </c>
      <c r="AB95" s="7" t="s">
        <v>168</v>
      </c>
      <c r="AC95" s="7" t="s">
        <v>267</v>
      </c>
      <c r="AD95" s="7"/>
      <c r="AE95" s="7"/>
      <c r="AF95" s="7"/>
      <c r="AG95" s="7"/>
      <c r="AH95" s="7"/>
      <c r="AI95" s="7" t="s">
        <v>170</v>
      </c>
      <c r="AJ95" s="7" t="s">
        <v>171</v>
      </c>
      <c r="AK95" s="7" t="s">
        <v>172</v>
      </c>
      <c r="AL95" s="7"/>
      <c r="AM95" s="10">
        <v>2025</v>
      </c>
      <c r="AN95" s="10">
        <v>2</v>
      </c>
      <c r="AO95" s="9">
        <v>45689</v>
      </c>
      <c r="AP95" s="9">
        <v>45689</v>
      </c>
      <c r="AQ95" s="9">
        <v>45689</v>
      </c>
      <c r="AR95" s="7" t="s">
        <v>194</v>
      </c>
      <c r="AS95" s="7"/>
      <c r="AT95" s="7" t="s">
        <v>202</v>
      </c>
      <c r="AU95" s="7" t="s">
        <v>200</v>
      </c>
      <c r="AV95" s="7"/>
      <c r="AW95" s="7"/>
      <c r="AX95" s="7"/>
      <c r="AY95" s="7" t="s">
        <v>181</v>
      </c>
      <c r="AZ95" s="7" t="s">
        <v>191</v>
      </c>
      <c r="BA95" s="7" t="s">
        <v>9</v>
      </c>
      <c r="BB95" s="12">
        <v>900</v>
      </c>
      <c r="BC95" s="7" t="s">
        <v>12</v>
      </c>
      <c r="BD95" s="13">
        <v>1.54</v>
      </c>
      <c r="BE95" s="12">
        <v>1386</v>
      </c>
      <c r="BF95" s="7" t="s">
        <v>178</v>
      </c>
      <c r="BG95" s="13">
        <v>2.85</v>
      </c>
      <c r="BH95" s="12">
        <v>3950.1</v>
      </c>
      <c r="BI95" s="7"/>
      <c r="BJ95" s="13"/>
      <c r="BK95" s="12"/>
    </row>
    <row r="96" spans="1:63" x14ac:dyDescent="0.35">
      <c r="A96" s="7" t="s">
        <v>151</v>
      </c>
      <c r="B96" s="7" t="s">
        <v>152</v>
      </c>
      <c r="C96" s="7" t="s">
        <v>153</v>
      </c>
      <c r="D96" s="7"/>
      <c r="E96" s="7"/>
      <c r="F96" s="7" t="s">
        <v>203</v>
      </c>
      <c r="G96" s="7"/>
      <c r="H96" s="7"/>
      <c r="I96" s="7"/>
      <c r="J96" s="7"/>
      <c r="K96" s="7"/>
      <c r="L96" s="7" t="s">
        <v>155</v>
      </c>
      <c r="M96" s="7"/>
      <c r="N96" s="7"/>
      <c r="O96" s="7" t="s">
        <v>191</v>
      </c>
      <c r="P96" s="7" t="s">
        <v>192</v>
      </c>
      <c r="Q96" s="7" t="s">
        <v>204</v>
      </c>
      <c r="R96" s="7" t="s">
        <v>205</v>
      </c>
      <c r="S96" s="7" t="s">
        <v>206</v>
      </c>
      <c r="T96" s="7" t="s">
        <v>207</v>
      </c>
      <c r="U96" s="7"/>
      <c r="V96" s="7" t="s">
        <v>208</v>
      </c>
      <c r="W96" s="7" t="s">
        <v>163</v>
      </c>
      <c r="X96" s="7" t="s">
        <v>164</v>
      </c>
      <c r="Y96" s="7" t="s">
        <v>187</v>
      </c>
      <c r="Z96" s="7" t="s">
        <v>188</v>
      </c>
      <c r="AA96" s="7" t="s">
        <v>167</v>
      </c>
      <c r="AB96" s="7" t="s">
        <v>209</v>
      </c>
      <c r="AC96" s="7" t="s">
        <v>268</v>
      </c>
      <c r="AD96" s="7"/>
      <c r="AE96" s="7"/>
      <c r="AF96" s="7"/>
      <c r="AG96" s="7"/>
      <c r="AH96" s="7"/>
      <c r="AI96" s="7" t="s">
        <v>170</v>
      </c>
      <c r="AJ96" s="7" t="s">
        <v>171</v>
      </c>
      <c r="AK96" s="7" t="s">
        <v>172</v>
      </c>
      <c r="AL96" s="7"/>
      <c r="AM96" s="10">
        <v>2025</v>
      </c>
      <c r="AN96" s="10">
        <v>2</v>
      </c>
      <c r="AO96" s="9">
        <v>45689</v>
      </c>
      <c r="AP96" s="9">
        <v>45689</v>
      </c>
      <c r="AQ96" s="9">
        <v>45689</v>
      </c>
      <c r="AR96" s="7" t="s">
        <v>194</v>
      </c>
      <c r="AS96" s="7"/>
      <c r="AT96" s="7" t="s">
        <v>195</v>
      </c>
      <c r="AU96" s="7" t="s">
        <v>196</v>
      </c>
      <c r="AV96" s="7"/>
      <c r="AW96" s="7"/>
      <c r="AX96" s="7"/>
      <c r="AY96" s="7" t="s">
        <v>176</v>
      </c>
      <c r="AZ96" s="7" t="s">
        <v>191</v>
      </c>
      <c r="BA96" s="7" t="s">
        <v>178</v>
      </c>
      <c r="BB96" s="12">
        <v>-6500</v>
      </c>
      <c r="BC96" s="7" t="s">
        <v>12</v>
      </c>
      <c r="BD96" s="13">
        <v>1.37</v>
      </c>
      <c r="BE96" s="12">
        <v>-8905</v>
      </c>
      <c r="BF96" s="7" t="s">
        <v>178</v>
      </c>
      <c r="BG96" s="13">
        <v>2.85</v>
      </c>
      <c r="BH96" s="12">
        <v>-25379.25</v>
      </c>
      <c r="BI96" s="7"/>
      <c r="BJ96" s="13"/>
      <c r="BK96" s="12"/>
    </row>
    <row r="97" spans="1:63" x14ac:dyDescent="0.35">
      <c r="A97" s="7" t="s">
        <v>151</v>
      </c>
      <c r="B97" s="7" t="s">
        <v>152</v>
      </c>
      <c r="C97" s="7" t="s">
        <v>153</v>
      </c>
      <c r="D97" s="7"/>
      <c r="E97" s="7"/>
      <c r="F97" s="7" t="s">
        <v>203</v>
      </c>
      <c r="G97" s="7"/>
      <c r="H97" s="7"/>
      <c r="I97" s="7"/>
      <c r="J97" s="7"/>
      <c r="K97" s="7"/>
      <c r="L97" s="7" t="s">
        <v>155</v>
      </c>
      <c r="M97" s="7"/>
      <c r="N97" s="7"/>
      <c r="O97" s="7" t="s">
        <v>191</v>
      </c>
      <c r="P97" s="7" t="s">
        <v>192</v>
      </c>
      <c r="Q97" s="7" t="s">
        <v>204</v>
      </c>
      <c r="R97" s="7" t="s">
        <v>205</v>
      </c>
      <c r="S97" s="7" t="s">
        <v>206</v>
      </c>
      <c r="T97" s="7" t="s">
        <v>207</v>
      </c>
      <c r="U97" s="7"/>
      <c r="V97" s="7" t="s">
        <v>208</v>
      </c>
      <c r="W97" s="7" t="s">
        <v>163</v>
      </c>
      <c r="X97" s="7" t="s">
        <v>164</v>
      </c>
      <c r="Y97" s="7" t="s">
        <v>187</v>
      </c>
      <c r="Z97" s="7" t="s">
        <v>188</v>
      </c>
      <c r="AA97" s="7" t="s">
        <v>167</v>
      </c>
      <c r="AB97" s="7" t="s">
        <v>209</v>
      </c>
      <c r="AC97" s="7" t="s">
        <v>268</v>
      </c>
      <c r="AD97" s="7"/>
      <c r="AE97" s="7"/>
      <c r="AF97" s="7"/>
      <c r="AG97" s="7"/>
      <c r="AH97" s="7"/>
      <c r="AI97" s="7" t="s">
        <v>170</v>
      </c>
      <c r="AJ97" s="7" t="s">
        <v>171</v>
      </c>
      <c r="AK97" s="7" t="s">
        <v>172</v>
      </c>
      <c r="AL97" s="7"/>
      <c r="AM97" s="10">
        <v>2025</v>
      </c>
      <c r="AN97" s="10">
        <v>2</v>
      </c>
      <c r="AO97" s="9">
        <v>45689</v>
      </c>
      <c r="AP97" s="9">
        <v>45689</v>
      </c>
      <c r="AQ97" s="9">
        <v>45689</v>
      </c>
      <c r="AR97" s="7" t="s">
        <v>194</v>
      </c>
      <c r="AS97" s="7"/>
      <c r="AT97" s="7" t="s">
        <v>195</v>
      </c>
      <c r="AU97" s="7" t="s">
        <v>196</v>
      </c>
      <c r="AV97" s="7"/>
      <c r="AW97" s="7"/>
      <c r="AX97" s="7"/>
      <c r="AY97" s="7" t="s">
        <v>176</v>
      </c>
      <c r="AZ97" s="7" t="s">
        <v>191</v>
      </c>
      <c r="BA97" s="7" t="s">
        <v>178</v>
      </c>
      <c r="BB97" s="12">
        <v>-250</v>
      </c>
      <c r="BC97" s="7" t="s">
        <v>12</v>
      </c>
      <c r="BD97" s="13">
        <v>1.37</v>
      </c>
      <c r="BE97" s="12">
        <v>-342.5</v>
      </c>
      <c r="BF97" s="7" t="s">
        <v>178</v>
      </c>
      <c r="BG97" s="13">
        <v>2.85</v>
      </c>
      <c r="BH97" s="12">
        <v>-976.13</v>
      </c>
      <c r="BI97" s="7"/>
      <c r="BJ97" s="13"/>
      <c r="BK97" s="12"/>
    </row>
    <row r="98" spans="1:63" x14ac:dyDescent="0.35">
      <c r="A98" s="7" t="s">
        <v>151</v>
      </c>
      <c r="B98" s="7" t="s">
        <v>152</v>
      </c>
      <c r="C98" s="7" t="s">
        <v>153</v>
      </c>
      <c r="D98" s="7"/>
      <c r="E98" s="7"/>
      <c r="F98" s="7" t="s">
        <v>203</v>
      </c>
      <c r="G98" s="7"/>
      <c r="H98" s="7"/>
      <c r="I98" s="7"/>
      <c r="J98" s="7"/>
      <c r="K98" s="7"/>
      <c r="L98" s="7" t="s">
        <v>155</v>
      </c>
      <c r="M98" s="7"/>
      <c r="N98" s="7"/>
      <c r="O98" s="7" t="s">
        <v>191</v>
      </c>
      <c r="P98" s="7" t="s">
        <v>192</v>
      </c>
      <c r="Q98" s="7" t="s">
        <v>204</v>
      </c>
      <c r="R98" s="7" t="s">
        <v>205</v>
      </c>
      <c r="S98" s="7" t="s">
        <v>206</v>
      </c>
      <c r="T98" s="7" t="s">
        <v>207</v>
      </c>
      <c r="U98" s="7"/>
      <c r="V98" s="7" t="s">
        <v>208</v>
      </c>
      <c r="W98" s="7" t="s">
        <v>163</v>
      </c>
      <c r="X98" s="7" t="s">
        <v>164</v>
      </c>
      <c r="Y98" s="7" t="s">
        <v>187</v>
      </c>
      <c r="Z98" s="7" t="s">
        <v>188</v>
      </c>
      <c r="AA98" s="7" t="s">
        <v>167</v>
      </c>
      <c r="AB98" s="7" t="s">
        <v>209</v>
      </c>
      <c r="AC98" s="7" t="s">
        <v>268</v>
      </c>
      <c r="AD98" s="7"/>
      <c r="AE98" s="7"/>
      <c r="AF98" s="7"/>
      <c r="AG98" s="7"/>
      <c r="AH98" s="7"/>
      <c r="AI98" s="7" t="s">
        <v>170</v>
      </c>
      <c r="AJ98" s="7" t="s">
        <v>171</v>
      </c>
      <c r="AK98" s="7" t="s">
        <v>172</v>
      </c>
      <c r="AL98" s="7"/>
      <c r="AM98" s="10">
        <v>2025</v>
      </c>
      <c r="AN98" s="10">
        <v>2</v>
      </c>
      <c r="AO98" s="9">
        <v>45689</v>
      </c>
      <c r="AP98" s="9">
        <v>45689</v>
      </c>
      <c r="AQ98" s="9">
        <v>45689</v>
      </c>
      <c r="AR98" s="7" t="s">
        <v>194</v>
      </c>
      <c r="AS98" s="7"/>
      <c r="AT98" s="7" t="s">
        <v>211</v>
      </c>
      <c r="AU98" s="7" t="s">
        <v>212</v>
      </c>
      <c r="AV98" s="7"/>
      <c r="AW98" s="7"/>
      <c r="AX98" s="7"/>
      <c r="AY98" s="7" t="s">
        <v>181</v>
      </c>
      <c r="AZ98" s="7" t="s">
        <v>191</v>
      </c>
      <c r="BA98" s="7" t="s">
        <v>178</v>
      </c>
      <c r="BB98" s="12">
        <v>147.72</v>
      </c>
      <c r="BC98" s="7" t="s">
        <v>12</v>
      </c>
      <c r="BD98" s="13">
        <v>1.37</v>
      </c>
      <c r="BE98" s="12">
        <v>202.38</v>
      </c>
      <c r="BF98" s="7" t="s">
        <v>178</v>
      </c>
      <c r="BG98" s="13">
        <v>2.85</v>
      </c>
      <c r="BH98" s="12">
        <v>576.78</v>
      </c>
      <c r="BI98" s="7"/>
      <c r="BJ98" s="13"/>
      <c r="BK98" s="12"/>
    </row>
    <row r="99" spans="1:63" x14ac:dyDescent="0.35">
      <c r="A99" s="7" t="s">
        <v>151</v>
      </c>
      <c r="B99" s="7" t="s">
        <v>152</v>
      </c>
      <c r="C99" s="7" t="s">
        <v>153</v>
      </c>
      <c r="D99" s="7"/>
      <c r="E99" s="7" t="s">
        <v>208</v>
      </c>
      <c r="F99" s="7" t="s">
        <v>203</v>
      </c>
      <c r="G99" s="7"/>
      <c r="H99" s="7"/>
      <c r="I99" s="7"/>
      <c r="J99" s="7"/>
      <c r="K99" s="7"/>
      <c r="L99" s="7" t="s">
        <v>155</v>
      </c>
      <c r="M99" s="7"/>
      <c r="N99" s="7"/>
      <c r="O99" s="7" t="s">
        <v>191</v>
      </c>
      <c r="P99" s="7" t="s">
        <v>192</v>
      </c>
      <c r="Q99" s="7" t="s">
        <v>204</v>
      </c>
      <c r="R99" s="7" t="s">
        <v>205</v>
      </c>
      <c r="S99" s="7" t="s">
        <v>206</v>
      </c>
      <c r="T99" s="7" t="s">
        <v>207</v>
      </c>
      <c r="U99" s="7"/>
      <c r="V99" s="7" t="s">
        <v>208</v>
      </c>
      <c r="W99" s="7" t="s">
        <v>163</v>
      </c>
      <c r="X99" s="7" t="s">
        <v>164</v>
      </c>
      <c r="Y99" s="7" t="s">
        <v>187</v>
      </c>
      <c r="Z99" s="7" t="s">
        <v>188</v>
      </c>
      <c r="AA99" s="7" t="s">
        <v>167</v>
      </c>
      <c r="AB99" s="7" t="s">
        <v>209</v>
      </c>
      <c r="AC99" s="7" t="s">
        <v>268</v>
      </c>
      <c r="AD99" s="7"/>
      <c r="AE99" s="7"/>
      <c r="AF99" s="7"/>
      <c r="AG99" s="7"/>
      <c r="AH99" s="7"/>
      <c r="AI99" s="7" t="s">
        <v>170</v>
      </c>
      <c r="AJ99" s="7" t="s">
        <v>171</v>
      </c>
      <c r="AK99" s="7" t="s">
        <v>172</v>
      </c>
      <c r="AL99" s="7"/>
      <c r="AM99" s="10">
        <v>2025</v>
      </c>
      <c r="AN99" s="10">
        <v>2</v>
      </c>
      <c r="AO99" s="9">
        <v>45689</v>
      </c>
      <c r="AP99" s="9">
        <v>45689</v>
      </c>
      <c r="AQ99" s="9">
        <v>45689</v>
      </c>
      <c r="AR99" s="7" t="s">
        <v>194</v>
      </c>
      <c r="AS99" s="7"/>
      <c r="AT99" s="7" t="s">
        <v>197</v>
      </c>
      <c r="AU99" s="7" t="s">
        <v>198</v>
      </c>
      <c r="AV99" s="7"/>
      <c r="AW99" s="7"/>
      <c r="AX99" s="7"/>
      <c r="AY99" s="7" t="s">
        <v>181</v>
      </c>
      <c r="AZ99" s="7" t="s">
        <v>191</v>
      </c>
      <c r="BA99" s="7" t="s">
        <v>178</v>
      </c>
      <c r="BB99" s="12">
        <v>6352.28</v>
      </c>
      <c r="BC99" s="7" t="s">
        <v>12</v>
      </c>
      <c r="BD99" s="13">
        <v>1.37</v>
      </c>
      <c r="BE99" s="12">
        <v>8702.6200000000008</v>
      </c>
      <c r="BF99" s="7" t="s">
        <v>178</v>
      </c>
      <c r="BG99" s="13">
        <v>2.85</v>
      </c>
      <c r="BH99" s="12">
        <v>24802.47</v>
      </c>
      <c r="BI99" s="7"/>
      <c r="BJ99" s="13"/>
      <c r="BK99" s="12"/>
    </row>
    <row r="100" spans="1:63" x14ac:dyDescent="0.35">
      <c r="A100" s="7" t="s">
        <v>151</v>
      </c>
      <c r="B100" s="7" t="s">
        <v>152</v>
      </c>
      <c r="C100" s="7" t="s">
        <v>153</v>
      </c>
      <c r="D100" s="7"/>
      <c r="E100" s="7"/>
      <c r="F100" s="7" t="s">
        <v>203</v>
      </c>
      <c r="G100" s="7"/>
      <c r="H100" s="7"/>
      <c r="I100" s="7"/>
      <c r="J100" s="7"/>
      <c r="K100" s="7"/>
      <c r="L100" s="7" t="s">
        <v>155</v>
      </c>
      <c r="M100" s="7"/>
      <c r="N100" s="7"/>
      <c r="O100" s="7" t="s">
        <v>191</v>
      </c>
      <c r="P100" s="7" t="s">
        <v>192</v>
      </c>
      <c r="Q100" s="7" t="s">
        <v>204</v>
      </c>
      <c r="R100" s="7" t="s">
        <v>205</v>
      </c>
      <c r="S100" s="7" t="s">
        <v>206</v>
      </c>
      <c r="T100" s="7" t="s">
        <v>207</v>
      </c>
      <c r="U100" s="7"/>
      <c r="V100" s="7" t="s">
        <v>208</v>
      </c>
      <c r="W100" s="7" t="s">
        <v>163</v>
      </c>
      <c r="X100" s="7" t="s">
        <v>164</v>
      </c>
      <c r="Y100" s="7" t="s">
        <v>187</v>
      </c>
      <c r="Z100" s="7" t="s">
        <v>188</v>
      </c>
      <c r="AA100" s="7" t="s">
        <v>167</v>
      </c>
      <c r="AB100" s="7" t="s">
        <v>209</v>
      </c>
      <c r="AC100" s="7" t="s">
        <v>268</v>
      </c>
      <c r="AD100" s="7"/>
      <c r="AE100" s="7"/>
      <c r="AF100" s="7"/>
      <c r="AG100" s="7"/>
      <c r="AH100" s="7"/>
      <c r="AI100" s="7" t="s">
        <v>170</v>
      </c>
      <c r="AJ100" s="7" t="s">
        <v>171</v>
      </c>
      <c r="AK100" s="7" t="s">
        <v>172</v>
      </c>
      <c r="AL100" s="7"/>
      <c r="AM100" s="10">
        <v>2025</v>
      </c>
      <c r="AN100" s="10">
        <v>2</v>
      </c>
      <c r="AO100" s="9">
        <v>45689</v>
      </c>
      <c r="AP100" s="9">
        <v>45689</v>
      </c>
      <c r="AQ100" s="9">
        <v>45689</v>
      </c>
      <c r="AR100" s="7" t="s">
        <v>194</v>
      </c>
      <c r="AS100" s="7"/>
      <c r="AT100" s="7" t="s">
        <v>202</v>
      </c>
      <c r="AU100" s="7" t="s">
        <v>200</v>
      </c>
      <c r="AV100" s="7"/>
      <c r="AW100" s="7"/>
      <c r="AX100" s="7"/>
      <c r="AY100" s="7" t="s">
        <v>181</v>
      </c>
      <c r="AZ100" s="7" t="s">
        <v>191</v>
      </c>
      <c r="BA100" s="7" t="s">
        <v>178</v>
      </c>
      <c r="BB100" s="12">
        <v>250</v>
      </c>
      <c r="BC100" s="7" t="s">
        <v>12</v>
      </c>
      <c r="BD100" s="13">
        <v>1.37</v>
      </c>
      <c r="BE100" s="12">
        <v>342.5</v>
      </c>
      <c r="BF100" s="7" t="s">
        <v>178</v>
      </c>
      <c r="BG100" s="13">
        <v>2.85</v>
      </c>
      <c r="BH100" s="12">
        <v>976.13</v>
      </c>
      <c r="BI100" s="7"/>
      <c r="BJ100" s="13"/>
      <c r="BK100" s="12"/>
    </row>
    <row r="101" spans="1:63" x14ac:dyDescent="0.35">
      <c r="A101" s="7" t="s">
        <v>151</v>
      </c>
      <c r="B101" s="7" t="s">
        <v>152</v>
      </c>
      <c r="C101" s="7" t="s">
        <v>153</v>
      </c>
      <c r="D101" s="7"/>
      <c r="E101" s="7"/>
      <c r="F101" s="7" t="s">
        <v>203</v>
      </c>
      <c r="G101" s="7"/>
      <c r="H101" s="7"/>
      <c r="I101" s="7"/>
      <c r="J101" s="7"/>
      <c r="K101" s="7"/>
      <c r="L101" s="7" t="s">
        <v>155</v>
      </c>
      <c r="M101" s="7"/>
      <c r="N101" s="7"/>
      <c r="O101" s="7" t="s">
        <v>191</v>
      </c>
      <c r="P101" s="7" t="s">
        <v>192</v>
      </c>
      <c r="Q101" s="7" t="s">
        <v>204</v>
      </c>
      <c r="R101" s="7" t="s">
        <v>205</v>
      </c>
      <c r="S101" s="7" t="s">
        <v>206</v>
      </c>
      <c r="T101" s="7" t="s">
        <v>207</v>
      </c>
      <c r="U101" s="7"/>
      <c r="V101" s="7" t="s">
        <v>208</v>
      </c>
      <c r="W101" s="7" t="s">
        <v>163</v>
      </c>
      <c r="X101" s="7" t="s">
        <v>164</v>
      </c>
      <c r="Y101" s="7" t="s">
        <v>165</v>
      </c>
      <c r="Z101" s="7" t="s">
        <v>166</v>
      </c>
      <c r="AA101" s="7" t="s">
        <v>167</v>
      </c>
      <c r="AB101" s="7" t="s">
        <v>209</v>
      </c>
      <c r="AC101" s="7" t="s">
        <v>269</v>
      </c>
      <c r="AD101" s="7"/>
      <c r="AE101" s="7"/>
      <c r="AF101" s="7"/>
      <c r="AG101" s="7"/>
      <c r="AH101" s="7"/>
      <c r="AI101" s="7" t="s">
        <v>170</v>
      </c>
      <c r="AJ101" s="7" t="s">
        <v>171</v>
      </c>
      <c r="AK101" s="7" t="s">
        <v>172</v>
      </c>
      <c r="AL101" s="7"/>
      <c r="AM101" s="10">
        <v>2025</v>
      </c>
      <c r="AN101" s="10">
        <v>2</v>
      </c>
      <c r="AO101" s="9">
        <v>45689</v>
      </c>
      <c r="AP101" s="9">
        <v>45689</v>
      </c>
      <c r="AQ101" s="9">
        <v>45689</v>
      </c>
      <c r="AR101" s="7" t="s">
        <v>194</v>
      </c>
      <c r="AS101" s="7"/>
      <c r="AT101" s="7" t="s">
        <v>195</v>
      </c>
      <c r="AU101" s="7" t="s">
        <v>196</v>
      </c>
      <c r="AV101" s="7"/>
      <c r="AW101" s="7"/>
      <c r="AX101" s="7"/>
      <c r="AY101" s="7" t="s">
        <v>176</v>
      </c>
      <c r="AZ101" s="7" t="s">
        <v>191</v>
      </c>
      <c r="BA101" s="7" t="s">
        <v>178</v>
      </c>
      <c r="BB101" s="12">
        <v>-6500</v>
      </c>
      <c r="BC101" s="7" t="s">
        <v>12</v>
      </c>
      <c r="BD101" s="13">
        <v>1.37</v>
      </c>
      <c r="BE101" s="12">
        <v>-8905</v>
      </c>
      <c r="BF101" s="7" t="s">
        <v>178</v>
      </c>
      <c r="BG101" s="13">
        <v>2.85</v>
      </c>
      <c r="BH101" s="12">
        <v>-25379.25</v>
      </c>
      <c r="BI101" s="7"/>
      <c r="BJ101" s="13"/>
      <c r="BK101" s="12"/>
    </row>
    <row r="102" spans="1:63" x14ac:dyDescent="0.35">
      <c r="A102" s="7" t="s">
        <v>151</v>
      </c>
      <c r="B102" s="7" t="s">
        <v>152</v>
      </c>
      <c r="C102" s="7" t="s">
        <v>153</v>
      </c>
      <c r="D102" s="7"/>
      <c r="E102" s="7"/>
      <c r="F102" s="7" t="s">
        <v>203</v>
      </c>
      <c r="G102" s="7"/>
      <c r="H102" s="7"/>
      <c r="I102" s="7"/>
      <c r="J102" s="7"/>
      <c r="K102" s="7"/>
      <c r="L102" s="7" t="s">
        <v>155</v>
      </c>
      <c r="M102" s="7"/>
      <c r="N102" s="7"/>
      <c r="O102" s="7" t="s">
        <v>191</v>
      </c>
      <c r="P102" s="7" t="s">
        <v>192</v>
      </c>
      <c r="Q102" s="7" t="s">
        <v>204</v>
      </c>
      <c r="R102" s="7" t="s">
        <v>205</v>
      </c>
      <c r="S102" s="7" t="s">
        <v>206</v>
      </c>
      <c r="T102" s="7" t="s">
        <v>207</v>
      </c>
      <c r="U102" s="7"/>
      <c r="V102" s="7" t="s">
        <v>208</v>
      </c>
      <c r="W102" s="7" t="s">
        <v>163</v>
      </c>
      <c r="X102" s="7" t="s">
        <v>164</v>
      </c>
      <c r="Y102" s="7" t="s">
        <v>165</v>
      </c>
      <c r="Z102" s="7" t="s">
        <v>166</v>
      </c>
      <c r="AA102" s="7" t="s">
        <v>167</v>
      </c>
      <c r="AB102" s="7" t="s">
        <v>209</v>
      </c>
      <c r="AC102" s="7" t="s">
        <v>269</v>
      </c>
      <c r="AD102" s="7"/>
      <c r="AE102" s="7"/>
      <c r="AF102" s="7"/>
      <c r="AG102" s="7"/>
      <c r="AH102" s="7"/>
      <c r="AI102" s="7" t="s">
        <v>170</v>
      </c>
      <c r="AJ102" s="7" t="s">
        <v>171</v>
      </c>
      <c r="AK102" s="7" t="s">
        <v>172</v>
      </c>
      <c r="AL102" s="7"/>
      <c r="AM102" s="10">
        <v>2025</v>
      </c>
      <c r="AN102" s="10">
        <v>2</v>
      </c>
      <c r="AO102" s="9">
        <v>45689</v>
      </c>
      <c r="AP102" s="9">
        <v>45689</v>
      </c>
      <c r="AQ102" s="9">
        <v>45689</v>
      </c>
      <c r="AR102" s="7" t="s">
        <v>194</v>
      </c>
      <c r="AS102" s="7"/>
      <c r="AT102" s="7" t="s">
        <v>195</v>
      </c>
      <c r="AU102" s="7" t="s">
        <v>196</v>
      </c>
      <c r="AV102" s="7"/>
      <c r="AW102" s="7"/>
      <c r="AX102" s="7"/>
      <c r="AY102" s="7" t="s">
        <v>176</v>
      </c>
      <c r="AZ102" s="7" t="s">
        <v>191</v>
      </c>
      <c r="BA102" s="7" t="s">
        <v>178</v>
      </c>
      <c r="BB102" s="12">
        <v>-250</v>
      </c>
      <c r="BC102" s="7" t="s">
        <v>12</v>
      </c>
      <c r="BD102" s="13">
        <v>1.37</v>
      </c>
      <c r="BE102" s="12">
        <v>-342.5</v>
      </c>
      <c r="BF102" s="7" t="s">
        <v>178</v>
      </c>
      <c r="BG102" s="13">
        <v>2.85</v>
      </c>
      <c r="BH102" s="12">
        <v>-976.13</v>
      </c>
      <c r="BI102" s="7"/>
      <c r="BJ102" s="13"/>
      <c r="BK102" s="12"/>
    </row>
    <row r="103" spans="1:63" x14ac:dyDescent="0.35">
      <c r="A103" s="7" t="s">
        <v>151</v>
      </c>
      <c r="B103" s="7" t="s">
        <v>152</v>
      </c>
      <c r="C103" s="7" t="s">
        <v>153</v>
      </c>
      <c r="D103" s="7"/>
      <c r="E103" s="7"/>
      <c r="F103" s="7" t="s">
        <v>203</v>
      </c>
      <c r="G103" s="7"/>
      <c r="H103" s="7"/>
      <c r="I103" s="7"/>
      <c r="J103" s="7"/>
      <c r="K103" s="7"/>
      <c r="L103" s="7" t="s">
        <v>155</v>
      </c>
      <c r="M103" s="7"/>
      <c r="N103" s="7"/>
      <c r="O103" s="7" t="s">
        <v>191</v>
      </c>
      <c r="P103" s="7" t="s">
        <v>192</v>
      </c>
      <c r="Q103" s="7" t="s">
        <v>204</v>
      </c>
      <c r="R103" s="7" t="s">
        <v>205</v>
      </c>
      <c r="S103" s="7" t="s">
        <v>206</v>
      </c>
      <c r="T103" s="7" t="s">
        <v>207</v>
      </c>
      <c r="U103" s="7"/>
      <c r="V103" s="7" t="s">
        <v>208</v>
      </c>
      <c r="W103" s="7" t="s">
        <v>163</v>
      </c>
      <c r="X103" s="7" t="s">
        <v>164</v>
      </c>
      <c r="Y103" s="7" t="s">
        <v>165</v>
      </c>
      <c r="Z103" s="7" t="s">
        <v>166</v>
      </c>
      <c r="AA103" s="7" t="s">
        <v>167</v>
      </c>
      <c r="AB103" s="7" t="s">
        <v>209</v>
      </c>
      <c r="AC103" s="7" t="s">
        <v>269</v>
      </c>
      <c r="AD103" s="7"/>
      <c r="AE103" s="7"/>
      <c r="AF103" s="7"/>
      <c r="AG103" s="7"/>
      <c r="AH103" s="7"/>
      <c r="AI103" s="7" t="s">
        <v>170</v>
      </c>
      <c r="AJ103" s="7" t="s">
        <v>171</v>
      </c>
      <c r="AK103" s="7" t="s">
        <v>172</v>
      </c>
      <c r="AL103" s="7"/>
      <c r="AM103" s="10">
        <v>2025</v>
      </c>
      <c r="AN103" s="10">
        <v>2</v>
      </c>
      <c r="AO103" s="9">
        <v>45689</v>
      </c>
      <c r="AP103" s="9">
        <v>45689</v>
      </c>
      <c r="AQ103" s="9">
        <v>45689</v>
      </c>
      <c r="AR103" s="7" t="s">
        <v>194</v>
      </c>
      <c r="AS103" s="7"/>
      <c r="AT103" s="7" t="s">
        <v>211</v>
      </c>
      <c r="AU103" s="7" t="s">
        <v>212</v>
      </c>
      <c r="AV103" s="7"/>
      <c r="AW103" s="7"/>
      <c r="AX103" s="7"/>
      <c r="AY103" s="7" t="s">
        <v>181</v>
      </c>
      <c r="AZ103" s="7" t="s">
        <v>191</v>
      </c>
      <c r="BA103" s="7" t="s">
        <v>178</v>
      </c>
      <c r="BB103" s="12">
        <v>147.72</v>
      </c>
      <c r="BC103" s="7" t="s">
        <v>12</v>
      </c>
      <c r="BD103" s="13">
        <v>1.37</v>
      </c>
      <c r="BE103" s="12">
        <v>202.38</v>
      </c>
      <c r="BF103" s="7" t="s">
        <v>178</v>
      </c>
      <c r="BG103" s="13">
        <v>2.85</v>
      </c>
      <c r="BH103" s="12">
        <v>576.78</v>
      </c>
      <c r="BI103" s="7"/>
      <c r="BJ103" s="13"/>
      <c r="BK103" s="12"/>
    </row>
    <row r="104" spans="1:63" x14ac:dyDescent="0.35">
      <c r="A104" s="7" t="s">
        <v>151</v>
      </c>
      <c r="B104" s="7" t="s">
        <v>152</v>
      </c>
      <c r="C104" s="7" t="s">
        <v>153</v>
      </c>
      <c r="D104" s="7"/>
      <c r="E104" s="7" t="s">
        <v>208</v>
      </c>
      <c r="F104" s="7" t="s">
        <v>203</v>
      </c>
      <c r="G104" s="7"/>
      <c r="H104" s="7"/>
      <c r="I104" s="7"/>
      <c r="J104" s="7"/>
      <c r="K104" s="7"/>
      <c r="L104" s="7" t="s">
        <v>155</v>
      </c>
      <c r="M104" s="7"/>
      <c r="N104" s="7"/>
      <c r="O104" s="7" t="s">
        <v>191</v>
      </c>
      <c r="P104" s="7" t="s">
        <v>192</v>
      </c>
      <c r="Q104" s="7" t="s">
        <v>204</v>
      </c>
      <c r="R104" s="7" t="s">
        <v>205</v>
      </c>
      <c r="S104" s="7" t="s">
        <v>206</v>
      </c>
      <c r="T104" s="7" t="s">
        <v>207</v>
      </c>
      <c r="U104" s="7"/>
      <c r="V104" s="7" t="s">
        <v>208</v>
      </c>
      <c r="W104" s="7" t="s">
        <v>163</v>
      </c>
      <c r="X104" s="7" t="s">
        <v>164</v>
      </c>
      <c r="Y104" s="7" t="s">
        <v>165</v>
      </c>
      <c r="Z104" s="7" t="s">
        <v>166</v>
      </c>
      <c r="AA104" s="7" t="s">
        <v>167</v>
      </c>
      <c r="AB104" s="7" t="s">
        <v>209</v>
      </c>
      <c r="AC104" s="7" t="s">
        <v>269</v>
      </c>
      <c r="AD104" s="7"/>
      <c r="AE104" s="7"/>
      <c r="AF104" s="7"/>
      <c r="AG104" s="7"/>
      <c r="AH104" s="7"/>
      <c r="AI104" s="7" t="s">
        <v>170</v>
      </c>
      <c r="AJ104" s="7" t="s">
        <v>171</v>
      </c>
      <c r="AK104" s="7" t="s">
        <v>172</v>
      </c>
      <c r="AL104" s="7"/>
      <c r="AM104" s="10">
        <v>2025</v>
      </c>
      <c r="AN104" s="10">
        <v>2</v>
      </c>
      <c r="AO104" s="9">
        <v>45689</v>
      </c>
      <c r="AP104" s="9">
        <v>45689</v>
      </c>
      <c r="AQ104" s="9">
        <v>45689</v>
      </c>
      <c r="AR104" s="7" t="s">
        <v>194</v>
      </c>
      <c r="AS104" s="7"/>
      <c r="AT104" s="7" t="s">
        <v>197</v>
      </c>
      <c r="AU104" s="7" t="s">
        <v>198</v>
      </c>
      <c r="AV104" s="7"/>
      <c r="AW104" s="7"/>
      <c r="AX104" s="7"/>
      <c r="AY104" s="7" t="s">
        <v>181</v>
      </c>
      <c r="AZ104" s="7" t="s">
        <v>191</v>
      </c>
      <c r="BA104" s="7" t="s">
        <v>178</v>
      </c>
      <c r="BB104" s="12">
        <v>6352.28</v>
      </c>
      <c r="BC104" s="7" t="s">
        <v>12</v>
      </c>
      <c r="BD104" s="13">
        <v>1.37</v>
      </c>
      <c r="BE104" s="12">
        <v>8702.6200000000008</v>
      </c>
      <c r="BF104" s="7" t="s">
        <v>178</v>
      </c>
      <c r="BG104" s="13">
        <v>2.85</v>
      </c>
      <c r="BH104" s="12">
        <v>24802.47</v>
      </c>
      <c r="BI104" s="7"/>
      <c r="BJ104" s="13"/>
      <c r="BK104" s="12"/>
    </row>
    <row r="105" spans="1:63" x14ac:dyDescent="0.35">
      <c r="A105" s="7" t="s">
        <v>151</v>
      </c>
      <c r="B105" s="7" t="s">
        <v>152</v>
      </c>
      <c r="C105" s="7" t="s">
        <v>153</v>
      </c>
      <c r="D105" s="7"/>
      <c r="E105" s="7"/>
      <c r="F105" s="7" t="s">
        <v>203</v>
      </c>
      <c r="G105" s="7"/>
      <c r="H105" s="7"/>
      <c r="I105" s="7"/>
      <c r="J105" s="7"/>
      <c r="K105" s="7"/>
      <c r="L105" s="7" t="s">
        <v>155</v>
      </c>
      <c r="M105" s="7"/>
      <c r="N105" s="7"/>
      <c r="O105" s="7" t="s">
        <v>191</v>
      </c>
      <c r="P105" s="7" t="s">
        <v>192</v>
      </c>
      <c r="Q105" s="7" t="s">
        <v>204</v>
      </c>
      <c r="R105" s="7" t="s">
        <v>205</v>
      </c>
      <c r="S105" s="7" t="s">
        <v>206</v>
      </c>
      <c r="T105" s="7" t="s">
        <v>207</v>
      </c>
      <c r="U105" s="7"/>
      <c r="V105" s="7" t="s">
        <v>208</v>
      </c>
      <c r="W105" s="7" t="s">
        <v>163</v>
      </c>
      <c r="X105" s="7" t="s">
        <v>164</v>
      </c>
      <c r="Y105" s="7" t="s">
        <v>165</v>
      </c>
      <c r="Z105" s="7" t="s">
        <v>166</v>
      </c>
      <c r="AA105" s="7" t="s">
        <v>167</v>
      </c>
      <c r="AB105" s="7" t="s">
        <v>209</v>
      </c>
      <c r="AC105" s="7" t="s">
        <v>269</v>
      </c>
      <c r="AD105" s="7"/>
      <c r="AE105" s="7"/>
      <c r="AF105" s="7"/>
      <c r="AG105" s="7"/>
      <c r="AH105" s="7"/>
      <c r="AI105" s="7" t="s">
        <v>170</v>
      </c>
      <c r="AJ105" s="7" t="s">
        <v>171</v>
      </c>
      <c r="AK105" s="7" t="s">
        <v>172</v>
      </c>
      <c r="AL105" s="7"/>
      <c r="AM105" s="10">
        <v>2025</v>
      </c>
      <c r="AN105" s="10">
        <v>2</v>
      </c>
      <c r="AO105" s="9">
        <v>45689</v>
      </c>
      <c r="AP105" s="9">
        <v>45689</v>
      </c>
      <c r="AQ105" s="9">
        <v>45689</v>
      </c>
      <c r="AR105" s="7" t="s">
        <v>194</v>
      </c>
      <c r="AS105" s="7"/>
      <c r="AT105" s="7" t="s">
        <v>202</v>
      </c>
      <c r="AU105" s="7" t="s">
        <v>200</v>
      </c>
      <c r="AV105" s="7"/>
      <c r="AW105" s="7"/>
      <c r="AX105" s="7"/>
      <c r="AY105" s="7" t="s">
        <v>181</v>
      </c>
      <c r="AZ105" s="7" t="s">
        <v>191</v>
      </c>
      <c r="BA105" s="7" t="s">
        <v>178</v>
      </c>
      <c r="BB105" s="12">
        <v>250</v>
      </c>
      <c r="BC105" s="7" t="s">
        <v>12</v>
      </c>
      <c r="BD105" s="13">
        <v>1.37</v>
      </c>
      <c r="BE105" s="12">
        <v>342.5</v>
      </c>
      <c r="BF105" s="7" t="s">
        <v>178</v>
      </c>
      <c r="BG105" s="13">
        <v>2.85</v>
      </c>
      <c r="BH105" s="12">
        <v>976.13</v>
      </c>
      <c r="BI105" s="7"/>
      <c r="BJ105" s="13"/>
      <c r="BK105" s="12"/>
    </row>
    <row r="106" spans="1:63" x14ac:dyDescent="0.35">
      <c r="A106" s="7" t="s">
        <v>151</v>
      </c>
      <c r="B106" s="7" t="s">
        <v>152</v>
      </c>
      <c r="C106" s="7" t="s">
        <v>153</v>
      </c>
      <c r="D106" s="7"/>
      <c r="E106" s="7"/>
      <c r="F106" s="7" t="s">
        <v>154</v>
      </c>
      <c r="G106" s="7"/>
      <c r="H106" s="7"/>
      <c r="I106" s="7"/>
      <c r="J106" s="7"/>
      <c r="K106" s="7"/>
      <c r="L106" s="7" t="s">
        <v>155</v>
      </c>
      <c r="M106" s="7"/>
      <c r="N106" s="7"/>
      <c r="O106" s="7" t="s">
        <v>214</v>
      </c>
      <c r="P106" s="7" t="s">
        <v>215</v>
      </c>
      <c r="Q106" s="7" t="s">
        <v>158</v>
      </c>
      <c r="R106" s="7" t="s">
        <v>159</v>
      </c>
      <c r="S106" s="7" t="s">
        <v>160</v>
      </c>
      <c r="T106" s="7" t="s">
        <v>161</v>
      </c>
      <c r="U106" s="7"/>
      <c r="V106" s="7" t="s">
        <v>162</v>
      </c>
      <c r="W106" s="7" t="s">
        <v>163</v>
      </c>
      <c r="X106" s="7" t="s">
        <v>164</v>
      </c>
      <c r="Y106" s="7" t="s">
        <v>165</v>
      </c>
      <c r="Z106" s="7" t="s">
        <v>166</v>
      </c>
      <c r="AA106" s="7" t="s">
        <v>167</v>
      </c>
      <c r="AB106" s="7" t="s">
        <v>168</v>
      </c>
      <c r="AC106" s="7" t="s">
        <v>270</v>
      </c>
      <c r="AD106" s="7"/>
      <c r="AE106" s="7"/>
      <c r="AF106" s="7"/>
      <c r="AG106" s="7"/>
      <c r="AH106" s="7"/>
      <c r="AI106" s="7" t="s">
        <v>170</v>
      </c>
      <c r="AJ106" s="7" t="s">
        <v>171</v>
      </c>
      <c r="AK106" s="7" t="s">
        <v>172</v>
      </c>
      <c r="AL106" s="7"/>
      <c r="AM106" s="10">
        <v>2025</v>
      </c>
      <c r="AN106" s="10">
        <v>2</v>
      </c>
      <c r="AO106" s="9">
        <v>45716</v>
      </c>
      <c r="AP106" s="9">
        <v>45716</v>
      </c>
      <c r="AQ106" s="9">
        <v>45716</v>
      </c>
      <c r="AR106" s="7" t="s">
        <v>173</v>
      </c>
      <c r="AS106" s="7"/>
      <c r="AT106" s="7" t="s">
        <v>211</v>
      </c>
      <c r="AU106" s="7" t="s">
        <v>212</v>
      </c>
      <c r="AV106" s="7"/>
      <c r="AW106" s="7"/>
      <c r="AX106" s="7"/>
      <c r="AY106" s="7" t="s">
        <v>176</v>
      </c>
      <c r="AZ106" s="7" t="s">
        <v>214</v>
      </c>
      <c r="BA106" s="7" t="s">
        <v>9</v>
      </c>
      <c r="BB106" s="12">
        <v>-173.99</v>
      </c>
      <c r="BC106" s="7" t="s">
        <v>12</v>
      </c>
      <c r="BD106" s="13">
        <v>1.54</v>
      </c>
      <c r="BE106" s="12">
        <v>-267.95</v>
      </c>
      <c r="BF106" s="7" t="s">
        <v>178</v>
      </c>
      <c r="BG106" s="13">
        <v>2.85</v>
      </c>
      <c r="BH106" s="12">
        <v>-763.65</v>
      </c>
      <c r="BI106" s="7"/>
      <c r="BJ106" s="13"/>
      <c r="BK106" s="12"/>
    </row>
    <row r="107" spans="1:63" x14ac:dyDescent="0.35">
      <c r="A107" s="7" t="s">
        <v>151</v>
      </c>
      <c r="B107" s="7" t="s">
        <v>152</v>
      </c>
      <c r="C107" s="7" t="s">
        <v>153</v>
      </c>
      <c r="D107" s="7"/>
      <c r="E107" s="7" t="s">
        <v>162</v>
      </c>
      <c r="F107" s="7" t="s">
        <v>154</v>
      </c>
      <c r="G107" s="7"/>
      <c r="H107" s="7"/>
      <c r="I107" s="7"/>
      <c r="J107" s="7"/>
      <c r="K107" s="7"/>
      <c r="L107" s="7" t="s">
        <v>155</v>
      </c>
      <c r="M107" s="7"/>
      <c r="N107" s="7"/>
      <c r="O107" s="7" t="s">
        <v>214</v>
      </c>
      <c r="P107" s="7" t="s">
        <v>215</v>
      </c>
      <c r="Q107" s="7" t="s">
        <v>158</v>
      </c>
      <c r="R107" s="7" t="s">
        <v>159</v>
      </c>
      <c r="S107" s="7" t="s">
        <v>160</v>
      </c>
      <c r="T107" s="7" t="s">
        <v>161</v>
      </c>
      <c r="U107" s="7"/>
      <c r="V107" s="7" t="s">
        <v>162</v>
      </c>
      <c r="W107" s="7" t="s">
        <v>163</v>
      </c>
      <c r="X107" s="7" t="s">
        <v>164</v>
      </c>
      <c r="Y107" s="7" t="s">
        <v>165</v>
      </c>
      <c r="Z107" s="7" t="s">
        <v>166</v>
      </c>
      <c r="AA107" s="7" t="s">
        <v>167</v>
      </c>
      <c r="AB107" s="7" t="s">
        <v>168</v>
      </c>
      <c r="AC107" s="7" t="s">
        <v>270</v>
      </c>
      <c r="AD107" s="7"/>
      <c r="AE107" s="7"/>
      <c r="AF107" s="7"/>
      <c r="AG107" s="7"/>
      <c r="AH107" s="7"/>
      <c r="AI107" s="7" t="s">
        <v>170</v>
      </c>
      <c r="AJ107" s="7" t="s">
        <v>171</v>
      </c>
      <c r="AK107" s="7" t="s">
        <v>172</v>
      </c>
      <c r="AL107" s="7"/>
      <c r="AM107" s="10">
        <v>2025</v>
      </c>
      <c r="AN107" s="10">
        <v>2</v>
      </c>
      <c r="AO107" s="9">
        <v>45716</v>
      </c>
      <c r="AP107" s="9">
        <v>45716</v>
      </c>
      <c r="AQ107" s="9">
        <v>45716</v>
      </c>
      <c r="AR107" s="7" t="s">
        <v>173</v>
      </c>
      <c r="AS107" s="7"/>
      <c r="AT107" s="7" t="s">
        <v>217</v>
      </c>
      <c r="AU107" s="7" t="s">
        <v>218</v>
      </c>
      <c r="AV107" s="7"/>
      <c r="AW107" s="7"/>
      <c r="AX107" s="7"/>
      <c r="AY107" s="7" t="s">
        <v>181</v>
      </c>
      <c r="AZ107" s="7" t="s">
        <v>214</v>
      </c>
      <c r="BA107" s="7" t="s">
        <v>9</v>
      </c>
      <c r="BB107" s="12">
        <v>173.99</v>
      </c>
      <c r="BC107" s="7" t="s">
        <v>12</v>
      </c>
      <c r="BD107" s="13">
        <v>1.54</v>
      </c>
      <c r="BE107" s="12">
        <v>267.95</v>
      </c>
      <c r="BF107" s="7" t="s">
        <v>178</v>
      </c>
      <c r="BG107" s="13">
        <v>2.85</v>
      </c>
      <c r="BH107" s="12">
        <v>763.65</v>
      </c>
      <c r="BI107" s="7"/>
      <c r="BJ107" s="13"/>
      <c r="BK107" s="12"/>
    </row>
    <row r="108" spans="1:63" x14ac:dyDescent="0.35">
      <c r="A108" s="7" t="s">
        <v>151</v>
      </c>
      <c r="B108" s="7" t="s">
        <v>152</v>
      </c>
      <c r="C108" s="7" t="s">
        <v>153</v>
      </c>
      <c r="D108" s="7"/>
      <c r="E108" s="7"/>
      <c r="F108" s="7" t="s">
        <v>154</v>
      </c>
      <c r="G108" s="7"/>
      <c r="H108" s="7"/>
      <c r="I108" s="7"/>
      <c r="J108" s="7"/>
      <c r="K108" s="7"/>
      <c r="L108" s="7" t="s">
        <v>155</v>
      </c>
      <c r="M108" s="7"/>
      <c r="N108" s="7"/>
      <c r="O108" s="7" t="s">
        <v>214</v>
      </c>
      <c r="P108" s="7" t="s">
        <v>215</v>
      </c>
      <c r="Q108" s="7" t="s">
        <v>158</v>
      </c>
      <c r="R108" s="7" t="s">
        <v>159</v>
      </c>
      <c r="S108" s="7" t="s">
        <v>160</v>
      </c>
      <c r="T108" s="7" t="s">
        <v>161</v>
      </c>
      <c r="U108" s="7"/>
      <c r="V108" s="7" t="s">
        <v>162</v>
      </c>
      <c r="W108" s="7" t="s">
        <v>163</v>
      </c>
      <c r="X108" s="7" t="s">
        <v>164</v>
      </c>
      <c r="Y108" s="7" t="s">
        <v>165</v>
      </c>
      <c r="Z108" s="7" t="s">
        <v>166</v>
      </c>
      <c r="AA108" s="7" t="s">
        <v>167</v>
      </c>
      <c r="AB108" s="7" t="s">
        <v>168</v>
      </c>
      <c r="AC108" s="7" t="s">
        <v>270</v>
      </c>
      <c r="AD108" s="7"/>
      <c r="AE108" s="7"/>
      <c r="AF108" s="7"/>
      <c r="AG108" s="7"/>
      <c r="AH108" s="7"/>
      <c r="AI108" s="7" t="s">
        <v>170</v>
      </c>
      <c r="AJ108" s="7" t="s">
        <v>171</v>
      </c>
      <c r="AK108" s="7" t="s">
        <v>172</v>
      </c>
      <c r="AL108" s="7"/>
      <c r="AM108" s="10">
        <v>2025</v>
      </c>
      <c r="AN108" s="10">
        <v>2</v>
      </c>
      <c r="AO108" s="9">
        <v>45716</v>
      </c>
      <c r="AP108" s="9">
        <v>45716</v>
      </c>
      <c r="AQ108" s="9">
        <v>45716</v>
      </c>
      <c r="AR108" s="7" t="s">
        <v>173</v>
      </c>
      <c r="AS108" s="7"/>
      <c r="AT108" s="7" t="s">
        <v>199</v>
      </c>
      <c r="AU108" s="7" t="s">
        <v>200</v>
      </c>
      <c r="AV108" s="7"/>
      <c r="AW108" s="7"/>
      <c r="AX108" s="7"/>
      <c r="AY108" s="7" t="s">
        <v>176</v>
      </c>
      <c r="AZ108" s="7" t="s">
        <v>214</v>
      </c>
      <c r="BA108" s="7" t="s">
        <v>9</v>
      </c>
      <c r="BB108" s="12">
        <v>-900</v>
      </c>
      <c r="BC108" s="7" t="s">
        <v>12</v>
      </c>
      <c r="BD108" s="13">
        <v>1.54</v>
      </c>
      <c r="BE108" s="12">
        <v>-1386</v>
      </c>
      <c r="BF108" s="7" t="s">
        <v>178</v>
      </c>
      <c r="BG108" s="13">
        <v>2.85</v>
      </c>
      <c r="BH108" s="12">
        <v>-3950.1</v>
      </c>
      <c r="BI108" s="7"/>
      <c r="BJ108" s="13"/>
      <c r="BK108" s="12"/>
    </row>
    <row r="109" spans="1:63" x14ac:dyDescent="0.35">
      <c r="A109" s="7" t="s">
        <v>151</v>
      </c>
      <c r="B109" s="7" t="s">
        <v>152</v>
      </c>
      <c r="C109" s="7" t="s">
        <v>153</v>
      </c>
      <c r="D109" s="7"/>
      <c r="E109" s="7" t="s">
        <v>162</v>
      </c>
      <c r="F109" s="7" t="s">
        <v>154</v>
      </c>
      <c r="G109" s="7"/>
      <c r="H109" s="7"/>
      <c r="I109" s="7"/>
      <c r="J109" s="7"/>
      <c r="K109" s="7"/>
      <c r="L109" s="7" t="s">
        <v>155</v>
      </c>
      <c r="M109" s="7"/>
      <c r="N109" s="7"/>
      <c r="O109" s="7" t="s">
        <v>214</v>
      </c>
      <c r="P109" s="7" t="s">
        <v>215</v>
      </c>
      <c r="Q109" s="7" t="s">
        <v>158</v>
      </c>
      <c r="R109" s="7" t="s">
        <v>159</v>
      </c>
      <c r="S109" s="7" t="s">
        <v>160</v>
      </c>
      <c r="T109" s="7" t="s">
        <v>161</v>
      </c>
      <c r="U109" s="7"/>
      <c r="V109" s="7" t="s">
        <v>162</v>
      </c>
      <c r="W109" s="7" t="s">
        <v>163</v>
      </c>
      <c r="X109" s="7" t="s">
        <v>164</v>
      </c>
      <c r="Y109" s="7" t="s">
        <v>165</v>
      </c>
      <c r="Z109" s="7" t="s">
        <v>166</v>
      </c>
      <c r="AA109" s="7" t="s">
        <v>167</v>
      </c>
      <c r="AB109" s="7" t="s">
        <v>168</v>
      </c>
      <c r="AC109" s="7" t="s">
        <v>270</v>
      </c>
      <c r="AD109" s="7"/>
      <c r="AE109" s="7"/>
      <c r="AF109" s="7"/>
      <c r="AG109" s="7"/>
      <c r="AH109" s="7"/>
      <c r="AI109" s="7" t="s">
        <v>170</v>
      </c>
      <c r="AJ109" s="7" t="s">
        <v>171</v>
      </c>
      <c r="AK109" s="7" t="s">
        <v>172</v>
      </c>
      <c r="AL109" s="7"/>
      <c r="AM109" s="10">
        <v>2025</v>
      </c>
      <c r="AN109" s="10">
        <v>2</v>
      </c>
      <c r="AO109" s="9">
        <v>45716</v>
      </c>
      <c r="AP109" s="9">
        <v>45716</v>
      </c>
      <c r="AQ109" s="9">
        <v>45716</v>
      </c>
      <c r="AR109" s="7" t="s">
        <v>173</v>
      </c>
      <c r="AS109" s="7"/>
      <c r="AT109" s="7" t="s">
        <v>219</v>
      </c>
      <c r="AU109" s="7" t="s">
        <v>220</v>
      </c>
      <c r="AV109" s="7"/>
      <c r="AW109" s="7"/>
      <c r="AX109" s="7"/>
      <c r="AY109" s="7" t="s">
        <v>181</v>
      </c>
      <c r="AZ109" s="7" t="s">
        <v>214</v>
      </c>
      <c r="BA109" s="7" t="s">
        <v>9</v>
      </c>
      <c r="BB109" s="12">
        <v>900</v>
      </c>
      <c r="BC109" s="7" t="s">
        <v>12</v>
      </c>
      <c r="BD109" s="13">
        <v>1.54</v>
      </c>
      <c r="BE109" s="12">
        <v>1386</v>
      </c>
      <c r="BF109" s="7" t="s">
        <v>178</v>
      </c>
      <c r="BG109" s="13">
        <v>2.85</v>
      </c>
      <c r="BH109" s="12">
        <v>3950.1</v>
      </c>
      <c r="BI109" s="7"/>
      <c r="BJ109" s="13"/>
      <c r="BK109" s="12"/>
    </row>
    <row r="110" spans="1:63" x14ac:dyDescent="0.35">
      <c r="A110" s="7" t="s">
        <v>151</v>
      </c>
      <c r="B110" s="7" t="s">
        <v>152</v>
      </c>
      <c r="C110" s="7" t="s">
        <v>153</v>
      </c>
      <c r="D110" s="7"/>
      <c r="E110" s="7" t="s">
        <v>162</v>
      </c>
      <c r="F110" s="7" t="s">
        <v>154</v>
      </c>
      <c r="G110" s="7"/>
      <c r="H110" s="7"/>
      <c r="I110" s="7"/>
      <c r="J110" s="7"/>
      <c r="K110" s="7"/>
      <c r="L110" s="7" t="s">
        <v>155</v>
      </c>
      <c r="M110" s="7"/>
      <c r="N110" s="7"/>
      <c r="O110" s="7" t="s">
        <v>214</v>
      </c>
      <c r="P110" s="7" t="s">
        <v>215</v>
      </c>
      <c r="Q110" s="7" t="s">
        <v>158</v>
      </c>
      <c r="R110" s="7" t="s">
        <v>159</v>
      </c>
      <c r="S110" s="7" t="s">
        <v>160</v>
      </c>
      <c r="T110" s="7" t="s">
        <v>161</v>
      </c>
      <c r="U110" s="7"/>
      <c r="V110" s="7" t="s">
        <v>162</v>
      </c>
      <c r="W110" s="7" t="s">
        <v>163</v>
      </c>
      <c r="X110" s="7" t="s">
        <v>164</v>
      </c>
      <c r="Y110" s="7" t="s">
        <v>165</v>
      </c>
      <c r="Z110" s="7" t="s">
        <v>166</v>
      </c>
      <c r="AA110" s="7" t="s">
        <v>167</v>
      </c>
      <c r="AB110" s="7" t="s">
        <v>168</v>
      </c>
      <c r="AC110" s="7" t="s">
        <v>270</v>
      </c>
      <c r="AD110" s="7"/>
      <c r="AE110" s="7"/>
      <c r="AF110" s="7"/>
      <c r="AG110" s="7"/>
      <c r="AH110" s="7"/>
      <c r="AI110" s="7" t="s">
        <v>170</v>
      </c>
      <c r="AJ110" s="7" t="s">
        <v>171</v>
      </c>
      <c r="AK110" s="7" t="s">
        <v>172</v>
      </c>
      <c r="AL110" s="7"/>
      <c r="AM110" s="10">
        <v>2025</v>
      </c>
      <c r="AN110" s="10">
        <v>2</v>
      </c>
      <c r="AO110" s="9">
        <v>45716</v>
      </c>
      <c r="AP110" s="9">
        <v>45716</v>
      </c>
      <c r="AQ110" s="9">
        <v>45716</v>
      </c>
      <c r="AR110" s="7" t="s">
        <v>173</v>
      </c>
      <c r="AS110" s="7"/>
      <c r="AT110" s="7" t="s">
        <v>197</v>
      </c>
      <c r="AU110" s="7" t="s">
        <v>198</v>
      </c>
      <c r="AV110" s="7"/>
      <c r="AW110" s="7"/>
      <c r="AX110" s="7"/>
      <c r="AY110" s="7" t="s">
        <v>176</v>
      </c>
      <c r="AZ110" s="7" t="s">
        <v>214</v>
      </c>
      <c r="BA110" s="7" t="s">
        <v>9</v>
      </c>
      <c r="BB110" s="12">
        <v>-7912.53</v>
      </c>
      <c r="BC110" s="7" t="s">
        <v>12</v>
      </c>
      <c r="BD110" s="13">
        <v>1.54</v>
      </c>
      <c r="BE110" s="12">
        <v>-12185.29</v>
      </c>
      <c r="BF110" s="7" t="s">
        <v>178</v>
      </c>
      <c r="BG110" s="13">
        <v>2.85</v>
      </c>
      <c r="BH110" s="12">
        <v>-34728.080000000002</v>
      </c>
      <c r="BI110" s="7"/>
      <c r="BJ110" s="13"/>
      <c r="BK110" s="12"/>
    </row>
    <row r="111" spans="1:63" x14ac:dyDescent="0.35">
      <c r="A111" s="7" t="s">
        <v>151</v>
      </c>
      <c r="B111" s="7" t="s">
        <v>152</v>
      </c>
      <c r="C111" s="7" t="s">
        <v>153</v>
      </c>
      <c r="D111" s="7"/>
      <c r="E111" s="7"/>
      <c r="F111" s="7" t="s">
        <v>154</v>
      </c>
      <c r="G111" s="7"/>
      <c r="H111" s="7"/>
      <c r="I111" s="7"/>
      <c r="J111" s="7"/>
      <c r="K111" s="7"/>
      <c r="L111" s="7" t="s">
        <v>155</v>
      </c>
      <c r="M111" s="7"/>
      <c r="N111" s="7"/>
      <c r="O111" s="7" t="s">
        <v>214</v>
      </c>
      <c r="P111" s="7" t="s">
        <v>215</v>
      </c>
      <c r="Q111" s="7" t="s">
        <v>158</v>
      </c>
      <c r="R111" s="7" t="s">
        <v>159</v>
      </c>
      <c r="S111" s="7" t="s">
        <v>160</v>
      </c>
      <c r="T111" s="7" t="s">
        <v>161</v>
      </c>
      <c r="U111" s="7"/>
      <c r="V111" s="7" t="s">
        <v>162</v>
      </c>
      <c r="W111" s="7" t="s">
        <v>163</v>
      </c>
      <c r="X111" s="7" t="s">
        <v>164</v>
      </c>
      <c r="Y111" s="7" t="s">
        <v>165</v>
      </c>
      <c r="Z111" s="7" t="s">
        <v>166</v>
      </c>
      <c r="AA111" s="7" t="s">
        <v>167</v>
      </c>
      <c r="AB111" s="7" t="s">
        <v>168</v>
      </c>
      <c r="AC111" s="7" t="s">
        <v>270</v>
      </c>
      <c r="AD111" s="7"/>
      <c r="AE111" s="7"/>
      <c r="AF111" s="7"/>
      <c r="AG111" s="7"/>
      <c r="AH111" s="7"/>
      <c r="AI111" s="7" t="s">
        <v>170</v>
      </c>
      <c r="AJ111" s="7" t="s">
        <v>171</v>
      </c>
      <c r="AK111" s="7" t="s">
        <v>172</v>
      </c>
      <c r="AL111" s="7"/>
      <c r="AM111" s="10">
        <v>2025</v>
      </c>
      <c r="AN111" s="10">
        <v>2</v>
      </c>
      <c r="AO111" s="9">
        <v>45716</v>
      </c>
      <c r="AP111" s="9">
        <v>45716</v>
      </c>
      <c r="AQ111" s="9">
        <v>45716</v>
      </c>
      <c r="AR111" s="7" t="s">
        <v>173</v>
      </c>
      <c r="AS111" s="7"/>
      <c r="AT111" s="7" t="s">
        <v>174</v>
      </c>
      <c r="AU111" s="7" t="s">
        <v>175</v>
      </c>
      <c r="AV111" s="7"/>
      <c r="AW111" s="7"/>
      <c r="AX111" s="7"/>
      <c r="AY111" s="7" t="s">
        <v>181</v>
      </c>
      <c r="AZ111" s="7" t="s">
        <v>214</v>
      </c>
      <c r="BA111" s="7" t="s">
        <v>9</v>
      </c>
      <c r="BB111" s="12">
        <v>7912.53</v>
      </c>
      <c r="BC111" s="7" t="s">
        <v>12</v>
      </c>
      <c r="BD111" s="13">
        <v>1.54</v>
      </c>
      <c r="BE111" s="12">
        <v>12185.29</v>
      </c>
      <c r="BF111" s="7" t="s">
        <v>178</v>
      </c>
      <c r="BG111" s="13">
        <v>2.85</v>
      </c>
      <c r="BH111" s="12">
        <v>34728.080000000002</v>
      </c>
      <c r="BI111" s="7"/>
      <c r="BJ111" s="13"/>
      <c r="BK111" s="12"/>
    </row>
    <row r="112" spans="1:63" x14ac:dyDescent="0.35">
      <c r="A112" s="7" t="s">
        <v>151</v>
      </c>
      <c r="B112" s="7" t="s">
        <v>152</v>
      </c>
      <c r="C112" s="7" t="s">
        <v>153</v>
      </c>
      <c r="D112" s="7"/>
      <c r="E112" s="7"/>
      <c r="F112" s="7" t="s">
        <v>154</v>
      </c>
      <c r="G112" s="7"/>
      <c r="H112" s="7"/>
      <c r="I112" s="7"/>
      <c r="J112" s="7"/>
      <c r="K112" s="7"/>
      <c r="L112" s="7" t="s">
        <v>155</v>
      </c>
      <c r="M112" s="7"/>
      <c r="N112" s="7"/>
      <c r="O112" s="7" t="s">
        <v>222</v>
      </c>
      <c r="P112" s="7" t="s">
        <v>223</v>
      </c>
      <c r="Q112" s="7" t="s">
        <v>158</v>
      </c>
      <c r="R112" s="7" t="s">
        <v>159</v>
      </c>
      <c r="S112" s="7" t="s">
        <v>160</v>
      </c>
      <c r="T112" s="7" t="s">
        <v>161</v>
      </c>
      <c r="U112" s="7"/>
      <c r="V112" s="7" t="s">
        <v>162</v>
      </c>
      <c r="W112" s="7" t="s">
        <v>163</v>
      </c>
      <c r="X112" s="7" t="s">
        <v>164</v>
      </c>
      <c r="Y112" s="7" t="s">
        <v>165</v>
      </c>
      <c r="Z112" s="7" t="s">
        <v>166</v>
      </c>
      <c r="AA112" s="7" t="s">
        <v>167</v>
      </c>
      <c r="AB112" s="7" t="s">
        <v>168</v>
      </c>
      <c r="AC112" s="7" t="s">
        <v>271</v>
      </c>
      <c r="AD112" s="7"/>
      <c r="AE112" s="7"/>
      <c r="AF112" s="7"/>
      <c r="AG112" s="7"/>
      <c r="AH112" s="7"/>
      <c r="AI112" s="7" t="s">
        <v>170</v>
      </c>
      <c r="AJ112" s="7" t="s">
        <v>171</v>
      </c>
      <c r="AK112" s="7" t="s">
        <v>172</v>
      </c>
      <c r="AL112" s="7"/>
      <c r="AM112" s="10">
        <v>2025</v>
      </c>
      <c r="AN112" s="10">
        <v>2</v>
      </c>
      <c r="AO112" s="9">
        <v>45716</v>
      </c>
      <c r="AP112" s="9">
        <v>45716</v>
      </c>
      <c r="AQ112" s="9">
        <v>45716</v>
      </c>
      <c r="AR112" s="7" t="s">
        <v>173</v>
      </c>
      <c r="AS112" s="7" t="s">
        <v>225</v>
      </c>
      <c r="AT112" s="7" t="s">
        <v>226</v>
      </c>
      <c r="AU112" s="7" t="s">
        <v>265</v>
      </c>
      <c r="AV112" s="7"/>
      <c r="AW112" s="7"/>
      <c r="AX112" s="7"/>
      <c r="AY112" s="7" t="s">
        <v>176</v>
      </c>
      <c r="AZ112" s="7" t="s">
        <v>222</v>
      </c>
      <c r="BA112" s="7" t="s">
        <v>9</v>
      </c>
      <c r="BB112" s="12">
        <v>-7908.76</v>
      </c>
      <c r="BC112" s="7" t="s">
        <v>12</v>
      </c>
      <c r="BD112" s="13">
        <v>1.54</v>
      </c>
      <c r="BE112" s="12">
        <v>-12179.49</v>
      </c>
      <c r="BF112" s="7" t="s">
        <v>178</v>
      </c>
      <c r="BG112" s="13">
        <v>2.85</v>
      </c>
      <c r="BH112" s="12">
        <v>-34711.56</v>
      </c>
      <c r="BI112" s="7"/>
      <c r="BJ112" s="13"/>
      <c r="BK112" s="12"/>
    </row>
    <row r="113" spans="1:63" x14ac:dyDescent="0.35">
      <c r="A113" s="7" t="s">
        <v>151</v>
      </c>
      <c r="B113" s="7" t="s">
        <v>152</v>
      </c>
      <c r="C113" s="7" t="s">
        <v>153</v>
      </c>
      <c r="D113" s="7"/>
      <c r="E113" s="7" t="s">
        <v>162</v>
      </c>
      <c r="F113" s="7" t="s">
        <v>154</v>
      </c>
      <c r="G113" s="7"/>
      <c r="H113" s="7"/>
      <c r="I113" s="7"/>
      <c r="J113" s="7"/>
      <c r="K113" s="7"/>
      <c r="L113" s="7" t="s">
        <v>155</v>
      </c>
      <c r="M113" s="7"/>
      <c r="N113" s="7"/>
      <c r="O113" s="7" t="s">
        <v>222</v>
      </c>
      <c r="P113" s="7" t="s">
        <v>223</v>
      </c>
      <c r="Q113" s="7" t="s">
        <v>158</v>
      </c>
      <c r="R113" s="7" t="s">
        <v>159</v>
      </c>
      <c r="S113" s="7" t="s">
        <v>160</v>
      </c>
      <c r="T113" s="7" t="s">
        <v>161</v>
      </c>
      <c r="U113" s="7"/>
      <c r="V113" s="7" t="s">
        <v>162</v>
      </c>
      <c r="W113" s="7" t="s">
        <v>163</v>
      </c>
      <c r="X113" s="7" t="s">
        <v>164</v>
      </c>
      <c r="Y113" s="7" t="s">
        <v>165</v>
      </c>
      <c r="Z113" s="7" t="s">
        <v>166</v>
      </c>
      <c r="AA113" s="7" t="s">
        <v>167</v>
      </c>
      <c r="AB113" s="7" t="s">
        <v>168</v>
      </c>
      <c r="AC113" s="7" t="s">
        <v>271</v>
      </c>
      <c r="AD113" s="7"/>
      <c r="AE113" s="7"/>
      <c r="AF113" s="7"/>
      <c r="AG113" s="7"/>
      <c r="AH113" s="7"/>
      <c r="AI113" s="7" t="s">
        <v>170</v>
      </c>
      <c r="AJ113" s="7" t="s">
        <v>171</v>
      </c>
      <c r="AK113" s="7" t="s">
        <v>172</v>
      </c>
      <c r="AL113" s="7"/>
      <c r="AM113" s="10">
        <v>2025</v>
      </c>
      <c r="AN113" s="10">
        <v>2</v>
      </c>
      <c r="AO113" s="9">
        <v>45716</v>
      </c>
      <c r="AP113" s="9">
        <v>45716</v>
      </c>
      <c r="AQ113" s="9">
        <v>45716</v>
      </c>
      <c r="AR113" s="7" t="s">
        <v>173</v>
      </c>
      <c r="AS113" s="7" t="s">
        <v>225</v>
      </c>
      <c r="AT113" s="7" t="s">
        <v>228</v>
      </c>
      <c r="AU113" s="7" t="s">
        <v>222</v>
      </c>
      <c r="AV113" s="7"/>
      <c r="AW113" s="7"/>
      <c r="AX113" s="7"/>
      <c r="AY113" s="7" t="s">
        <v>181</v>
      </c>
      <c r="AZ113" s="7" t="s">
        <v>222</v>
      </c>
      <c r="BA113" s="7" t="s">
        <v>9</v>
      </c>
      <c r="BB113" s="12">
        <v>7908.76</v>
      </c>
      <c r="BC113" s="7" t="s">
        <v>12</v>
      </c>
      <c r="BD113" s="13">
        <v>1.54</v>
      </c>
      <c r="BE113" s="12">
        <v>12179.49</v>
      </c>
      <c r="BF113" s="7" t="s">
        <v>178</v>
      </c>
      <c r="BG113" s="13">
        <v>2.85</v>
      </c>
      <c r="BH113" s="12">
        <v>34711.56</v>
      </c>
      <c r="BI113" s="7"/>
      <c r="BJ113" s="13"/>
      <c r="BK113" s="12"/>
    </row>
    <row r="114" spans="1:63" x14ac:dyDescent="0.35">
      <c r="A114" s="7" t="s">
        <v>151</v>
      </c>
      <c r="B114" s="7" t="s">
        <v>152</v>
      </c>
      <c r="C114" s="7" t="s">
        <v>153</v>
      </c>
      <c r="D114" s="7"/>
      <c r="E114" s="7"/>
      <c r="F114" s="7" t="s">
        <v>154</v>
      </c>
      <c r="G114" s="7"/>
      <c r="H114" s="7"/>
      <c r="I114" s="7"/>
      <c r="J114" s="7"/>
      <c r="K114" s="7"/>
      <c r="L114" s="7" t="s">
        <v>155</v>
      </c>
      <c r="M114" s="7"/>
      <c r="N114" s="7"/>
      <c r="O114" s="7" t="s">
        <v>214</v>
      </c>
      <c r="P114" s="7" t="s">
        <v>215</v>
      </c>
      <c r="Q114" s="7" t="s">
        <v>158</v>
      </c>
      <c r="R114" s="7" t="s">
        <v>159</v>
      </c>
      <c r="S114" s="7" t="s">
        <v>160</v>
      </c>
      <c r="T114" s="7" t="s">
        <v>161</v>
      </c>
      <c r="U114" s="7"/>
      <c r="V114" s="7" t="s">
        <v>162</v>
      </c>
      <c r="W114" s="7" t="s">
        <v>163</v>
      </c>
      <c r="X114" s="7" t="s">
        <v>164</v>
      </c>
      <c r="Y114" s="7" t="s">
        <v>187</v>
      </c>
      <c r="Z114" s="7" t="s">
        <v>188</v>
      </c>
      <c r="AA114" s="7" t="s">
        <v>167</v>
      </c>
      <c r="AB114" s="7" t="s">
        <v>168</v>
      </c>
      <c r="AC114" s="7" t="s">
        <v>272</v>
      </c>
      <c r="AD114" s="7"/>
      <c r="AE114" s="7"/>
      <c r="AF114" s="7"/>
      <c r="AG114" s="7"/>
      <c r="AH114" s="7"/>
      <c r="AI114" s="7" t="s">
        <v>170</v>
      </c>
      <c r="AJ114" s="7" t="s">
        <v>171</v>
      </c>
      <c r="AK114" s="7" t="s">
        <v>172</v>
      </c>
      <c r="AL114" s="7"/>
      <c r="AM114" s="10">
        <v>2025</v>
      </c>
      <c r="AN114" s="10">
        <v>2</v>
      </c>
      <c r="AO114" s="9">
        <v>45716</v>
      </c>
      <c r="AP114" s="9">
        <v>45716</v>
      </c>
      <c r="AQ114" s="9">
        <v>45716</v>
      </c>
      <c r="AR114" s="7" t="s">
        <v>173</v>
      </c>
      <c r="AS114" s="7"/>
      <c r="AT114" s="7" t="s">
        <v>211</v>
      </c>
      <c r="AU114" s="7" t="s">
        <v>212</v>
      </c>
      <c r="AV114" s="7"/>
      <c r="AW114" s="7"/>
      <c r="AX114" s="7"/>
      <c r="AY114" s="7" t="s">
        <v>176</v>
      </c>
      <c r="AZ114" s="7" t="s">
        <v>214</v>
      </c>
      <c r="BA114" s="7" t="s">
        <v>9</v>
      </c>
      <c r="BB114" s="12">
        <v>-173.99</v>
      </c>
      <c r="BC114" s="7" t="s">
        <v>12</v>
      </c>
      <c r="BD114" s="13">
        <v>1.54</v>
      </c>
      <c r="BE114" s="12">
        <v>-267.95</v>
      </c>
      <c r="BF114" s="7" t="s">
        <v>178</v>
      </c>
      <c r="BG114" s="13">
        <v>2.85</v>
      </c>
      <c r="BH114" s="12">
        <v>-763.65</v>
      </c>
      <c r="BI114" s="7"/>
      <c r="BJ114" s="13"/>
      <c r="BK114" s="12"/>
    </row>
    <row r="115" spans="1:63" x14ac:dyDescent="0.35">
      <c r="A115" s="7" t="s">
        <v>151</v>
      </c>
      <c r="B115" s="7" t="s">
        <v>152</v>
      </c>
      <c r="C115" s="7" t="s">
        <v>153</v>
      </c>
      <c r="D115" s="7"/>
      <c r="E115" s="7" t="s">
        <v>162</v>
      </c>
      <c r="F115" s="7" t="s">
        <v>154</v>
      </c>
      <c r="G115" s="7"/>
      <c r="H115" s="7"/>
      <c r="I115" s="7"/>
      <c r="J115" s="7"/>
      <c r="K115" s="7"/>
      <c r="L115" s="7" t="s">
        <v>155</v>
      </c>
      <c r="M115" s="7"/>
      <c r="N115" s="7"/>
      <c r="O115" s="7" t="s">
        <v>214</v>
      </c>
      <c r="P115" s="7" t="s">
        <v>215</v>
      </c>
      <c r="Q115" s="7" t="s">
        <v>158</v>
      </c>
      <c r="R115" s="7" t="s">
        <v>159</v>
      </c>
      <c r="S115" s="7" t="s">
        <v>160</v>
      </c>
      <c r="T115" s="7" t="s">
        <v>161</v>
      </c>
      <c r="U115" s="7"/>
      <c r="V115" s="7" t="s">
        <v>162</v>
      </c>
      <c r="W115" s="7" t="s">
        <v>163</v>
      </c>
      <c r="X115" s="7" t="s">
        <v>164</v>
      </c>
      <c r="Y115" s="7" t="s">
        <v>187</v>
      </c>
      <c r="Z115" s="7" t="s">
        <v>188</v>
      </c>
      <c r="AA115" s="7" t="s">
        <v>167</v>
      </c>
      <c r="AB115" s="7" t="s">
        <v>168</v>
      </c>
      <c r="AC115" s="7" t="s">
        <v>272</v>
      </c>
      <c r="AD115" s="7"/>
      <c r="AE115" s="7"/>
      <c r="AF115" s="7"/>
      <c r="AG115" s="7"/>
      <c r="AH115" s="7"/>
      <c r="AI115" s="7" t="s">
        <v>170</v>
      </c>
      <c r="AJ115" s="7" t="s">
        <v>171</v>
      </c>
      <c r="AK115" s="7" t="s">
        <v>172</v>
      </c>
      <c r="AL115" s="7"/>
      <c r="AM115" s="10">
        <v>2025</v>
      </c>
      <c r="AN115" s="10">
        <v>2</v>
      </c>
      <c r="AO115" s="9">
        <v>45716</v>
      </c>
      <c r="AP115" s="9">
        <v>45716</v>
      </c>
      <c r="AQ115" s="9">
        <v>45716</v>
      </c>
      <c r="AR115" s="7" t="s">
        <v>173</v>
      </c>
      <c r="AS115" s="7"/>
      <c r="AT115" s="7" t="s">
        <v>217</v>
      </c>
      <c r="AU115" s="7" t="s">
        <v>218</v>
      </c>
      <c r="AV115" s="7"/>
      <c r="AW115" s="7"/>
      <c r="AX115" s="7"/>
      <c r="AY115" s="7" t="s">
        <v>181</v>
      </c>
      <c r="AZ115" s="7" t="s">
        <v>214</v>
      </c>
      <c r="BA115" s="7" t="s">
        <v>9</v>
      </c>
      <c r="BB115" s="12">
        <v>173.99</v>
      </c>
      <c r="BC115" s="7" t="s">
        <v>12</v>
      </c>
      <c r="BD115" s="13">
        <v>1.54</v>
      </c>
      <c r="BE115" s="12">
        <v>267.95</v>
      </c>
      <c r="BF115" s="7" t="s">
        <v>178</v>
      </c>
      <c r="BG115" s="13">
        <v>2.85</v>
      </c>
      <c r="BH115" s="12">
        <v>763.65</v>
      </c>
      <c r="BI115" s="7"/>
      <c r="BJ115" s="13"/>
      <c r="BK115" s="12"/>
    </row>
    <row r="116" spans="1:63" x14ac:dyDescent="0.35">
      <c r="A116" s="7" t="s">
        <v>151</v>
      </c>
      <c r="B116" s="7" t="s">
        <v>152</v>
      </c>
      <c r="C116" s="7" t="s">
        <v>153</v>
      </c>
      <c r="D116" s="7"/>
      <c r="E116" s="7"/>
      <c r="F116" s="7" t="s">
        <v>154</v>
      </c>
      <c r="G116" s="7"/>
      <c r="H116" s="7"/>
      <c r="I116" s="7"/>
      <c r="J116" s="7"/>
      <c r="K116" s="7"/>
      <c r="L116" s="7" t="s">
        <v>155</v>
      </c>
      <c r="M116" s="7"/>
      <c r="N116" s="7"/>
      <c r="O116" s="7" t="s">
        <v>214</v>
      </c>
      <c r="P116" s="7" t="s">
        <v>215</v>
      </c>
      <c r="Q116" s="7" t="s">
        <v>158</v>
      </c>
      <c r="R116" s="7" t="s">
        <v>159</v>
      </c>
      <c r="S116" s="7" t="s">
        <v>160</v>
      </c>
      <c r="T116" s="7" t="s">
        <v>161</v>
      </c>
      <c r="U116" s="7"/>
      <c r="V116" s="7" t="s">
        <v>162</v>
      </c>
      <c r="W116" s="7" t="s">
        <v>163</v>
      </c>
      <c r="X116" s="7" t="s">
        <v>164</v>
      </c>
      <c r="Y116" s="7" t="s">
        <v>187</v>
      </c>
      <c r="Z116" s="7" t="s">
        <v>188</v>
      </c>
      <c r="AA116" s="7" t="s">
        <v>167</v>
      </c>
      <c r="AB116" s="7" t="s">
        <v>168</v>
      </c>
      <c r="AC116" s="7" t="s">
        <v>272</v>
      </c>
      <c r="AD116" s="7"/>
      <c r="AE116" s="7"/>
      <c r="AF116" s="7"/>
      <c r="AG116" s="7"/>
      <c r="AH116" s="7"/>
      <c r="AI116" s="7" t="s">
        <v>170</v>
      </c>
      <c r="AJ116" s="7" t="s">
        <v>171</v>
      </c>
      <c r="AK116" s="7" t="s">
        <v>172</v>
      </c>
      <c r="AL116" s="7"/>
      <c r="AM116" s="10">
        <v>2025</v>
      </c>
      <c r="AN116" s="10">
        <v>2</v>
      </c>
      <c r="AO116" s="9">
        <v>45716</v>
      </c>
      <c r="AP116" s="9">
        <v>45716</v>
      </c>
      <c r="AQ116" s="9">
        <v>45716</v>
      </c>
      <c r="AR116" s="7" t="s">
        <v>173</v>
      </c>
      <c r="AS116" s="7"/>
      <c r="AT116" s="7" t="s">
        <v>202</v>
      </c>
      <c r="AU116" s="7" t="s">
        <v>200</v>
      </c>
      <c r="AV116" s="7"/>
      <c r="AW116" s="7"/>
      <c r="AX116" s="7"/>
      <c r="AY116" s="7" t="s">
        <v>176</v>
      </c>
      <c r="AZ116" s="7" t="s">
        <v>214</v>
      </c>
      <c r="BA116" s="7" t="s">
        <v>9</v>
      </c>
      <c r="BB116" s="12">
        <v>-900</v>
      </c>
      <c r="BC116" s="7" t="s">
        <v>12</v>
      </c>
      <c r="BD116" s="13">
        <v>1.54</v>
      </c>
      <c r="BE116" s="12">
        <v>-1386</v>
      </c>
      <c r="BF116" s="7" t="s">
        <v>178</v>
      </c>
      <c r="BG116" s="13">
        <v>2.85</v>
      </c>
      <c r="BH116" s="12">
        <v>-3950.1</v>
      </c>
      <c r="BI116" s="7"/>
      <c r="BJ116" s="13"/>
      <c r="BK116" s="12"/>
    </row>
    <row r="117" spans="1:63" x14ac:dyDescent="0.35">
      <c r="A117" s="7" t="s">
        <v>151</v>
      </c>
      <c r="B117" s="7" t="s">
        <v>152</v>
      </c>
      <c r="C117" s="7" t="s">
        <v>153</v>
      </c>
      <c r="D117" s="7"/>
      <c r="E117" s="7" t="s">
        <v>162</v>
      </c>
      <c r="F117" s="7" t="s">
        <v>154</v>
      </c>
      <c r="G117" s="7"/>
      <c r="H117" s="7"/>
      <c r="I117" s="7"/>
      <c r="J117" s="7"/>
      <c r="K117" s="7"/>
      <c r="L117" s="7" t="s">
        <v>155</v>
      </c>
      <c r="M117" s="7"/>
      <c r="N117" s="7"/>
      <c r="O117" s="7" t="s">
        <v>214</v>
      </c>
      <c r="P117" s="7" t="s">
        <v>215</v>
      </c>
      <c r="Q117" s="7" t="s">
        <v>158</v>
      </c>
      <c r="R117" s="7" t="s">
        <v>159</v>
      </c>
      <c r="S117" s="7" t="s">
        <v>160</v>
      </c>
      <c r="T117" s="7" t="s">
        <v>161</v>
      </c>
      <c r="U117" s="7"/>
      <c r="V117" s="7" t="s">
        <v>162</v>
      </c>
      <c r="W117" s="7" t="s">
        <v>163</v>
      </c>
      <c r="X117" s="7" t="s">
        <v>164</v>
      </c>
      <c r="Y117" s="7" t="s">
        <v>187</v>
      </c>
      <c r="Z117" s="7" t="s">
        <v>188</v>
      </c>
      <c r="AA117" s="7" t="s">
        <v>167</v>
      </c>
      <c r="AB117" s="7" t="s">
        <v>168</v>
      </c>
      <c r="AC117" s="7" t="s">
        <v>272</v>
      </c>
      <c r="AD117" s="7"/>
      <c r="AE117" s="7"/>
      <c r="AF117" s="7"/>
      <c r="AG117" s="7"/>
      <c r="AH117" s="7"/>
      <c r="AI117" s="7" t="s">
        <v>170</v>
      </c>
      <c r="AJ117" s="7" t="s">
        <v>171</v>
      </c>
      <c r="AK117" s="7" t="s">
        <v>172</v>
      </c>
      <c r="AL117" s="7"/>
      <c r="AM117" s="10">
        <v>2025</v>
      </c>
      <c r="AN117" s="10">
        <v>2</v>
      </c>
      <c r="AO117" s="9">
        <v>45716</v>
      </c>
      <c r="AP117" s="9">
        <v>45716</v>
      </c>
      <c r="AQ117" s="9">
        <v>45716</v>
      </c>
      <c r="AR117" s="7" t="s">
        <v>173</v>
      </c>
      <c r="AS117" s="7"/>
      <c r="AT117" s="7" t="s">
        <v>219</v>
      </c>
      <c r="AU117" s="7" t="s">
        <v>220</v>
      </c>
      <c r="AV117" s="7"/>
      <c r="AW117" s="7"/>
      <c r="AX117" s="7"/>
      <c r="AY117" s="7" t="s">
        <v>181</v>
      </c>
      <c r="AZ117" s="7" t="s">
        <v>214</v>
      </c>
      <c r="BA117" s="7" t="s">
        <v>9</v>
      </c>
      <c r="BB117" s="12">
        <v>900</v>
      </c>
      <c r="BC117" s="7" t="s">
        <v>12</v>
      </c>
      <c r="BD117" s="13">
        <v>1.54</v>
      </c>
      <c r="BE117" s="12">
        <v>1386</v>
      </c>
      <c r="BF117" s="7" t="s">
        <v>178</v>
      </c>
      <c r="BG117" s="13">
        <v>2.85</v>
      </c>
      <c r="BH117" s="12">
        <v>3950.1</v>
      </c>
      <c r="BI117" s="7"/>
      <c r="BJ117" s="13"/>
      <c r="BK117" s="12"/>
    </row>
    <row r="118" spans="1:63" x14ac:dyDescent="0.35">
      <c r="A118" s="7" t="s">
        <v>151</v>
      </c>
      <c r="B118" s="7" t="s">
        <v>152</v>
      </c>
      <c r="C118" s="7" t="s">
        <v>153</v>
      </c>
      <c r="D118" s="7"/>
      <c r="E118" s="7" t="s">
        <v>162</v>
      </c>
      <c r="F118" s="7" t="s">
        <v>154</v>
      </c>
      <c r="G118" s="7"/>
      <c r="H118" s="7"/>
      <c r="I118" s="7"/>
      <c r="J118" s="7"/>
      <c r="K118" s="7"/>
      <c r="L118" s="7" t="s">
        <v>155</v>
      </c>
      <c r="M118" s="7"/>
      <c r="N118" s="7"/>
      <c r="O118" s="7" t="s">
        <v>214</v>
      </c>
      <c r="P118" s="7" t="s">
        <v>215</v>
      </c>
      <c r="Q118" s="7" t="s">
        <v>158</v>
      </c>
      <c r="R118" s="7" t="s">
        <v>159</v>
      </c>
      <c r="S118" s="7" t="s">
        <v>160</v>
      </c>
      <c r="T118" s="7" t="s">
        <v>161</v>
      </c>
      <c r="U118" s="7"/>
      <c r="V118" s="7" t="s">
        <v>162</v>
      </c>
      <c r="W118" s="7" t="s">
        <v>163</v>
      </c>
      <c r="X118" s="7" t="s">
        <v>164</v>
      </c>
      <c r="Y118" s="7" t="s">
        <v>187</v>
      </c>
      <c r="Z118" s="7" t="s">
        <v>188</v>
      </c>
      <c r="AA118" s="7" t="s">
        <v>167</v>
      </c>
      <c r="AB118" s="7" t="s">
        <v>168</v>
      </c>
      <c r="AC118" s="7" t="s">
        <v>272</v>
      </c>
      <c r="AD118" s="7"/>
      <c r="AE118" s="7"/>
      <c r="AF118" s="7"/>
      <c r="AG118" s="7"/>
      <c r="AH118" s="7"/>
      <c r="AI118" s="7" t="s">
        <v>170</v>
      </c>
      <c r="AJ118" s="7" t="s">
        <v>171</v>
      </c>
      <c r="AK118" s="7" t="s">
        <v>172</v>
      </c>
      <c r="AL118" s="7"/>
      <c r="AM118" s="10">
        <v>2025</v>
      </c>
      <c r="AN118" s="10">
        <v>2</v>
      </c>
      <c r="AO118" s="9">
        <v>45716</v>
      </c>
      <c r="AP118" s="9">
        <v>45716</v>
      </c>
      <c r="AQ118" s="9">
        <v>45716</v>
      </c>
      <c r="AR118" s="7" t="s">
        <v>173</v>
      </c>
      <c r="AS118" s="7"/>
      <c r="AT118" s="7" t="s">
        <v>197</v>
      </c>
      <c r="AU118" s="7" t="s">
        <v>198</v>
      </c>
      <c r="AV118" s="7"/>
      <c r="AW118" s="7"/>
      <c r="AX118" s="7"/>
      <c r="AY118" s="7" t="s">
        <v>176</v>
      </c>
      <c r="AZ118" s="7" t="s">
        <v>214</v>
      </c>
      <c r="BA118" s="7" t="s">
        <v>9</v>
      </c>
      <c r="BB118" s="12">
        <v>-7912.53</v>
      </c>
      <c r="BC118" s="7" t="s">
        <v>12</v>
      </c>
      <c r="BD118" s="13">
        <v>1.54</v>
      </c>
      <c r="BE118" s="12">
        <v>-12185.29</v>
      </c>
      <c r="BF118" s="7" t="s">
        <v>178</v>
      </c>
      <c r="BG118" s="13">
        <v>2.85</v>
      </c>
      <c r="BH118" s="12">
        <v>-34728.080000000002</v>
      </c>
      <c r="BI118" s="7"/>
      <c r="BJ118" s="13"/>
      <c r="BK118" s="12"/>
    </row>
    <row r="119" spans="1:63" x14ac:dyDescent="0.35">
      <c r="A119" s="7" t="s">
        <v>151</v>
      </c>
      <c r="B119" s="7" t="s">
        <v>152</v>
      </c>
      <c r="C119" s="7" t="s">
        <v>153</v>
      </c>
      <c r="D119" s="7"/>
      <c r="E119" s="7"/>
      <c r="F119" s="7" t="s">
        <v>154</v>
      </c>
      <c r="G119" s="7"/>
      <c r="H119" s="7"/>
      <c r="I119" s="7"/>
      <c r="J119" s="7"/>
      <c r="K119" s="7"/>
      <c r="L119" s="7" t="s">
        <v>155</v>
      </c>
      <c r="M119" s="7"/>
      <c r="N119" s="7"/>
      <c r="O119" s="7" t="s">
        <v>214</v>
      </c>
      <c r="P119" s="7" t="s">
        <v>215</v>
      </c>
      <c r="Q119" s="7" t="s">
        <v>158</v>
      </c>
      <c r="R119" s="7" t="s">
        <v>159</v>
      </c>
      <c r="S119" s="7" t="s">
        <v>160</v>
      </c>
      <c r="T119" s="7" t="s">
        <v>161</v>
      </c>
      <c r="U119" s="7"/>
      <c r="V119" s="7" t="s">
        <v>162</v>
      </c>
      <c r="W119" s="7" t="s">
        <v>163</v>
      </c>
      <c r="X119" s="7" t="s">
        <v>164</v>
      </c>
      <c r="Y119" s="7" t="s">
        <v>187</v>
      </c>
      <c r="Z119" s="7" t="s">
        <v>188</v>
      </c>
      <c r="AA119" s="7" t="s">
        <v>167</v>
      </c>
      <c r="AB119" s="7" t="s">
        <v>168</v>
      </c>
      <c r="AC119" s="7" t="s">
        <v>272</v>
      </c>
      <c r="AD119" s="7"/>
      <c r="AE119" s="7"/>
      <c r="AF119" s="7"/>
      <c r="AG119" s="7"/>
      <c r="AH119" s="7"/>
      <c r="AI119" s="7" t="s">
        <v>170</v>
      </c>
      <c r="AJ119" s="7" t="s">
        <v>171</v>
      </c>
      <c r="AK119" s="7" t="s">
        <v>172</v>
      </c>
      <c r="AL119" s="7"/>
      <c r="AM119" s="10">
        <v>2025</v>
      </c>
      <c r="AN119" s="10">
        <v>2</v>
      </c>
      <c r="AO119" s="9">
        <v>45716</v>
      </c>
      <c r="AP119" s="9">
        <v>45716</v>
      </c>
      <c r="AQ119" s="9">
        <v>45716</v>
      </c>
      <c r="AR119" s="7" t="s">
        <v>173</v>
      </c>
      <c r="AS119" s="7"/>
      <c r="AT119" s="7" t="s">
        <v>174</v>
      </c>
      <c r="AU119" s="7" t="s">
        <v>175</v>
      </c>
      <c r="AV119" s="7"/>
      <c r="AW119" s="7"/>
      <c r="AX119" s="7"/>
      <c r="AY119" s="7" t="s">
        <v>181</v>
      </c>
      <c r="AZ119" s="7" t="s">
        <v>214</v>
      </c>
      <c r="BA119" s="7" t="s">
        <v>9</v>
      </c>
      <c r="BB119" s="12">
        <v>7912.53</v>
      </c>
      <c r="BC119" s="7" t="s">
        <v>12</v>
      </c>
      <c r="BD119" s="13">
        <v>1.54</v>
      </c>
      <c r="BE119" s="12">
        <v>12185.29</v>
      </c>
      <c r="BF119" s="7" t="s">
        <v>178</v>
      </c>
      <c r="BG119" s="13">
        <v>2.85</v>
      </c>
      <c r="BH119" s="12">
        <v>34728.080000000002</v>
      </c>
      <c r="BI119" s="7"/>
      <c r="BJ119" s="13"/>
      <c r="BK119" s="12"/>
    </row>
    <row r="120" spans="1:63" x14ac:dyDescent="0.35">
      <c r="A120" s="7" t="s">
        <v>151</v>
      </c>
      <c r="B120" s="7" t="s">
        <v>152</v>
      </c>
      <c r="C120" s="7" t="s">
        <v>153</v>
      </c>
      <c r="D120" s="7"/>
      <c r="E120" s="7"/>
      <c r="F120" s="7" t="s">
        <v>154</v>
      </c>
      <c r="G120" s="7"/>
      <c r="H120" s="7"/>
      <c r="I120" s="7"/>
      <c r="J120" s="7"/>
      <c r="K120" s="7"/>
      <c r="L120" s="7" t="s">
        <v>155</v>
      </c>
      <c r="M120" s="7"/>
      <c r="N120" s="7"/>
      <c r="O120" s="7" t="s">
        <v>222</v>
      </c>
      <c r="P120" s="7" t="s">
        <v>223</v>
      </c>
      <c r="Q120" s="7" t="s">
        <v>158</v>
      </c>
      <c r="R120" s="7" t="s">
        <v>159</v>
      </c>
      <c r="S120" s="7" t="s">
        <v>160</v>
      </c>
      <c r="T120" s="7" t="s">
        <v>161</v>
      </c>
      <c r="U120" s="7"/>
      <c r="V120" s="7" t="s">
        <v>162</v>
      </c>
      <c r="W120" s="7" t="s">
        <v>163</v>
      </c>
      <c r="X120" s="7" t="s">
        <v>164</v>
      </c>
      <c r="Y120" s="7" t="s">
        <v>187</v>
      </c>
      <c r="Z120" s="7" t="s">
        <v>188</v>
      </c>
      <c r="AA120" s="7" t="s">
        <v>167</v>
      </c>
      <c r="AB120" s="7" t="s">
        <v>168</v>
      </c>
      <c r="AC120" s="7" t="s">
        <v>273</v>
      </c>
      <c r="AD120" s="7"/>
      <c r="AE120" s="7"/>
      <c r="AF120" s="7"/>
      <c r="AG120" s="7"/>
      <c r="AH120" s="7"/>
      <c r="AI120" s="7" t="s">
        <v>170</v>
      </c>
      <c r="AJ120" s="7" t="s">
        <v>171</v>
      </c>
      <c r="AK120" s="7" t="s">
        <v>172</v>
      </c>
      <c r="AL120" s="7"/>
      <c r="AM120" s="10">
        <v>2025</v>
      </c>
      <c r="AN120" s="10">
        <v>2</v>
      </c>
      <c r="AO120" s="9">
        <v>45716</v>
      </c>
      <c r="AP120" s="9">
        <v>45716</v>
      </c>
      <c r="AQ120" s="9">
        <v>45716</v>
      </c>
      <c r="AR120" s="7" t="s">
        <v>173</v>
      </c>
      <c r="AS120" s="7" t="s">
        <v>231</v>
      </c>
      <c r="AT120" s="7" t="s">
        <v>226</v>
      </c>
      <c r="AU120" s="7" t="s">
        <v>265</v>
      </c>
      <c r="AV120" s="7"/>
      <c r="AW120" s="7"/>
      <c r="AX120" s="7"/>
      <c r="AY120" s="7" t="s">
        <v>176</v>
      </c>
      <c r="AZ120" s="7" t="s">
        <v>222</v>
      </c>
      <c r="BA120" s="7" t="s">
        <v>9</v>
      </c>
      <c r="BB120" s="12">
        <v>-7826.01</v>
      </c>
      <c r="BC120" s="7" t="s">
        <v>12</v>
      </c>
      <c r="BD120" s="13">
        <v>1.54</v>
      </c>
      <c r="BE120" s="12">
        <v>-12052.05</v>
      </c>
      <c r="BF120" s="7" t="s">
        <v>178</v>
      </c>
      <c r="BG120" s="13">
        <v>2.85</v>
      </c>
      <c r="BH120" s="12">
        <v>-34348.35</v>
      </c>
      <c r="BI120" s="7"/>
      <c r="BJ120" s="13"/>
      <c r="BK120" s="12"/>
    </row>
    <row r="121" spans="1:63" x14ac:dyDescent="0.35">
      <c r="A121" s="7" t="s">
        <v>151</v>
      </c>
      <c r="B121" s="7" t="s">
        <v>152</v>
      </c>
      <c r="C121" s="7" t="s">
        <v>153</v>
      </c>
      <c r="D121" s="7"/>
      <c r="E121" s="7" t="s">
        <v>162</v>
      </c>
      <c r="F121" s="7" t="s">
        <v>154</v>
      </c>
      <c r="G121" s="7"/>
      <c r="H121" s="7"/>
      <c r="I121" s="7"/>
      <c r="J121" s="7"/>
      <c r="K121" s="7"/>
      <c r="L121" s="7" t="s">
        <v>155</v>
      </c>
      <c r="M121" s="7"/>
      <c r="N121" s="7"/>
      <c r="O121" s="7" t="s">
        <v>222</v>
      </c>
      <c r="P121" s="7" t="s">
        <v>223</v>
      </c>
      <c r="Q121" s="7" t="s">
        <v>158</v>
      </c>
      <c r="R121" s="7" t="s">
        <v>159</v>
      </c>
      <c r="S121" s="7" t="s">
        <v>160</v>
      </c>
      <c r="T121" s="7" t="s">
        <v>161</v>
      </c>
      <c r="U121" s="7"/>
      <c r="V121" s="7" t="s">
        <v>162</v>
      </c>
      <c r="W121" s="7" t="s">
        <v>163</v>
      </c>
      <c r="X121" s="7" t="s">
        <v>164</v>
      </c>
      <c r="Y121" s="7" t="s">
        <v>187</v>
      </c>
      <c r="Z121" s="7" t="s">
        <v>188</v>
      </c>
      <c r="AA121" s="7" t="s">
        <v>167</v>
      </c>
      <c r="AB121" s="7" t="s">
        <v>168</v>
      </c>
      <c r="AC121" s="7" t="s">
        <v>273</v>
      </c>
      <c r="AD121" s="7"/>
      <c r="AE121" s="7"/>
      <c r="AF121" s="7"/>
      <c r="AG121" s="7"/>
      <c r="AH121" s="7"/>
      <c r="AI121" s="7" t="s">
        <v>170</v>
      </c>
      <c r="AJ121" s="7" t="s">
        <v>171</v>
      </c>
      <c r="AK121" s="7" t="s">
        <v>172</v>
      </c>
      <c r="AL121" s="7"/>
      <c r="AM121" s="10">
        <v>2025</v>
      </c>
      <c r="AN121" s="10">
        <v>2</v>
      </c>
      <c r="AO121" s="9">
        <v>45716</v>
      </c>
      <c r="AP121" s="9">
        <v>45716</v>
      </c>
      <c r="AQ121" s="9">
        <v>45716</v>
      </c>
      <c r="AR121" s="7" t="s">
        <v>173</v>
      </c>
      <c r="AS121" s="7" t="s">
        <v>231</v>
      </c>
      <c r="AT121" s="7" t="s">
        <v>228</v>
      </c>
      <c r="AU121" s="7" t="s">
        <v>222</v>
      </c>
      <c r="AV121" s="7"/>
      <c r="AW121" s="7"/>
      <c r="AX121" s="7"/>
      <c r="AY121" s="7" t="s">
        <v>181</v>
      </c>
      <c r="AZ121" s="7" t="s">
        <v>222</v>
      </c>
      <c r="BA121" s="7" t="s">
        <v>9</v>
      </c>
      <c r="BB121" s="12">
        <v>7826.01</v>
      </c>
      <c r="BC121" s="7" t="s">
        <v>12</v>
      </c>
      <c r="BD121" s="13">
        <v>1.54</v>
      </c>
      <c r="BE121" s="12">
        <v>12052.05</v>
      </c>
      <c r="BF121" s="7" t="s">
        <v>178</v>
      </c>
      <c r="BG121" s="13">
        <v>2.85</v>
      </c>
      <c r="BH121" s="12">
        <v>34348.35</v>
      </c>
      <c r="BI121" s="7"/>
      <c r="BJ121" s="13"/>
      <c r="BK121" s="12"/>
    </row>
    <row r="122" spans="1:63" x14ac:dyDescent="0.35">
      <c r="A122" s="7" t="s">
        <v>151</v>
      </c>
      <c r="B122" s="7" t="s">
        <v>152</v>
      </c>
      <c r="C122" s="7" t="s">
        <v>153</v>
      </c>
      <c r="D122" s="7"/>
      <c r="E122" s="7"/>
      <c r="F122" s="7" t="s">
        <v>203</v>
      </c>
      <c r="G122" s="7"/>
      <c r="H122" s="7"/>
      <c r="I122" s="7"/>
      <c r="J122" s="7"/>
      <c r="K122" s="7"/>
      <c r="L122" s="7" t="s">
        <v>155</v>
      </c>
      <c r="M122" s="7"/>
      <c r="N122" s="7"/>
      <c r="O122" s="7" t="s">
        <v>214</v>
      </c>
      <c r="P122" s="7" t="s">
        <v>215</v>
      </c>
      <c r="Q122" s="7" t="s">
        <v>204</v>
      </c>
      <c r="R122" s="7" t="s">
        <v>205</v>
      </c>
      <c r="S122" s="7" t="s">
        <v>206</v>
      </c>
      <c r="T122" s="7" t="s">
        <v>207</v>
      </c>
      <c r="U122" s="7"/>
      <c r="V122" s="7" t="s">
        <v>208</v>
      </c>
      <c r="W122" s="7" t="s">
        <v>163</v>
      </c>
      <c r="X122" s="7" t="s">
        <v>164</v>
      </c>
      <c r="Y122" s="7" t="s">
        <v>187</v>
      </c>
      <c r="Z122" s="7" t="s">
        <v>188</v>
      </c>
      <c r="AA122" s="7" t="s">
        <v>167</v>
      </c>
      <c r="AB122" s="7" t="s">
        <v>209</v>
      </c>
      <c r="AC122" s="7" t="s">
        <v>274</v>
      </c>
      <c r="AD122" s="7"/>
      <c r="AE122" s="7"/>
      <c r="AF122" s="7"/>
      <c r="AG122" s="7"/>
      <c r="AH122" s="7"/>
      <c r="AI122" s="7" t="s">
        <v>170</v>
      </c>
      <c r="AJ122" s="7" t="s">
        <v>171</v>
      </c>
      <c r="AK122" s="7" t="s">
        <v>172</v>
      </c>
      <c r="AL122" s="7"/>
      <c r="AM122" s="10">
        <v>2025</v>
      </c>
      <c r="AN122" s="10">
        <v>2</v>
      </c>
      <c r="AO122" s="9">
        <v>45716</v>
      </c>
      <c r="AP122" s="9">
        <v>45716</v>
      </c>
      <c r="AQ122" s="9">
        <v>45716</v>
      </c>
      <c r="AR122" s="7" t="s">
        <v>173</v>
      </c>
      <c r="AS122" s="7"/>
      <c r="AT122" s="7" t="s">
        <v>211</v>
      </c>
      <c r="AU122" s="7" t="s">
        <v>212</v>
      </c>
      <c r="AV122" s="7"/>
      <c r="AW122" s="7"/>
      <c r="AX122" s="7"/>
      <c r="AY122" s="7" t="s">
        <v>176</v>
      </c>
      <c r="AZ122" s="7" t="s">
        <v>214</v>
      </c>
      <c r="BA122" s="7" t="s">
        <v>178</v>
      </c>
      <c r="BB122" s="12">
        <v>-141.37</v>
      </c>
      <c r="BC122" s="7" t="s">
        <v>12</v>
      </c>
      <c r="BD122" s="13">
        <v>1.37</v>
      </c>
      <c r="BE122" s="12">
        <v>-193.67</v>
      </c>
      <c r="BF122" s="7" t="s">
        <v>178</v>
      </c>
      <c r="BG122" s="13">
        <v>2.85</v>
      </c>
      <c r="BH122" s="12">
        <v>-551.97</v>
      </c>
      <c r="BI122" s="7"/>
      <c r="BJ122" s="13"/>
      <c r="BK122" s="12"/>
    </row>
    <row r="123" spans="1:63" x14ac:dyDescent="0.35">
      <c r="A123" s="7" t="s">
        <v>151</v>
      </c>
      <c r="B123" s="7" t="s">
        <v>152</v>
      </c>
      <c r="C123" s="7" t="s">
        <v>153</v>
      </c>
      <c r="D123" s="7"/>
      <c r="E123" s="7" t="s">
        <v>208</v>
      </c>
      <c r="F123" s="7" t="s">
        <v>203</v>
      </c>
      <c r="G123" s="7"/>
      <c r="H123" s="7"/>
      <c r="I123" s="7"/>
      <c r="J123" s="7"/>
      <c r="K123" s="7"/>
      <c r="L123" s="7" t="s">
        <v>155</v>
      </c>
      <c r="M123" s="7"/>
      <c r="N123" s="7"/>
      <c r="O123" s="7" t="s">
        <v>214</v>
      </c>
      <c r="P123" s="7" t="s">
        <v>215</v>
      </c>
      <c r="Q123" s="7" t="s">
        <v>204</v>
      </c>
      <c r="R123" s="7" t="s">
        <v>205</v>
      </c>
      <c r="S123" s="7" t="s">
        <v>206</v>
      </c>
      <c r="T123" s="7" t="s">
        <v>207</v>
      </c>
      <c r="U123" s="7"/>
      <c r="V123" s="7" t="s">
        <v>208</v>
      </c>
      <c r="W123" s="7" t="s">
        <v>163</v>
      </c>
      <c r="X123" s="7" t="s">
        <v>164</v>
      </c>
      <c r="Y123" s="7" t="s">
        <v>187</v>
      </c>
      <c r="Z123" s="7" t="s">
        <v>188</v>
      </c>
      <c r="AA123" s="7" t="s">
        <v>167</v>
      </c>
      <c r="AB123" s="7" t="s">
        <v>209</v>
      </c>
      <c r="AC123" s="7" t="s">
        <v>274</v>
      </c>
      <c r="AD123" s="7"/>
      <c r="AE123" s="7"/>
      <c r="AF123" s="7"/>
      <c r="AG123" s="7"/>
      <c r="AH123" s="7"/>
      <c r="AI123" s="7" t="s">
        <v>170</v>
      </c>
      <c r="AJ123" s="7" t="s">
        <v>171</v>
      </c>
      <c r="AK123" s="7" t="s">
        <v>172</v>
      </c>
      <c r="AL123" s="7"/>
      <c r="AM123" s="10">
        <v>2025</v>
      </c>
      <c r="AN123" s="10">
        <v>2</v>
      </c>
      <c r="AO123" s="9">
        <v>45716</v>
      </c>
      <c r="AP123" s="9">
        <v>45716</v>
      </c>
      <c r="AQ123" s="9">
        <v>45716</v>
      </c>
      <c r="AR123" s="7" t="s">
        <v>173</v>
      </c>
      <c r="AS123" s="7"/>
      <c r="AT123" s="7" t="s">
        <v>217</v>
      </c>
      <c r="AU123" s="7" t="s">
        <v>218</v>
      </c>
      <c r="AV123" s="7"/>
      <c r="AW123" s="7"/>
      <c r="AX123" s="7"/>
      <c r="AY123" s="7" t="s">
        <v>181</v>
      </c>
      <c r="AZ123" s="7" t="s">
        <v>214</v>
      </c>
      <c r="BA123" s="7" t="s">
        <v>178</v>
      </c>
      <c r="BB123" s="12">
        <v>141.37</v>
      </c>
      <c r="BC123" s="7" t="s">
        <v>12</v>
      </c>
      <c r="BD123" s="13">
        <v>1.37</v>
      </c>
      <c r="BE123" s="12">
        <v>193.67</v>
      </c>
      <c r="BF123" s="7" t="s">
        <v>178</v>
      </c>
      <c r="BG123" s="13">
        <v>2.85</v>
      </c>
      <c r="BH123" s="12">
        <v>551.97</v>
      </c>
      <c r="BI123" s="7"/>
      <c r="BJ123" s="13"/>
      <c r="BK123" s="12"/>
    </row>
    <row r="124" spans="1:63" x14ac:dyDescent="0.35">
      <c r="A124" s="7" t="s">
        <v>151</v>
      </c>
      <c r="B124" s="7" t="s">
        <v>152</v>
      </c>
      <c r="C124" s="7" t="s">
        <v>153</v>
      </c>
      <c r="D124" s="7"/>
      <c r="E124" s="7"/>
      <c r="F124" s="7" t="s">
        <v>203</v>
      </c>
      <c r="G124" s="7"/>
      <c r="H124" s="7"/>
      <c r="I124" s="7"/>
      <c r="J124" s="7"/>
      <c r="K124" s="7"/>
      <c r="L124" s="7" t="s">
        <v>155</v>
      </c>
      <c r="M124" s="7"/>
      <c r="N124" s="7"/>
      <c r="O124" s="7" t="s">
        <v>214</v>
      </c>
      <c r="P124" s="7" t="s">
        <v>215</v>
      </c>
      <c r="Q124" s="7" t="s">
        <v>204</v>
      </c>
      <c r="R124" s="7" t="s">
        <v>205</v>
      </c>
      <c r="S124" s="7" t="s">
        <v>206</v>
      </c>
      <c r="T124" s="7" t="s">
        <v>207</v>
      </c>
      <c r="U124" s="7"/>
      <c r="V124" s="7" t="s">
        <v>208</v>
      </c>
      <c r="W124" s="7" t="s">
        <v>163</v>
      </c>
      <c r="X124" s="7" t="s">
        <v>164</v>
      </c>
      <c r="Y124" s="7" t="s">
        <v>187</v>
      </c>
      <c r="Z124" s="7" t="s">
        <v>188</v>
      </c>
      <c r="AA124" s="7" t="s">
        <v>167</v>
      </c>
      <c r="AB124" s="7" t="s">
        <v>209</v>
      </c>
      <c r="AC124" s="7" t="s">
        <v>274</v>
      </c>
      <c r="AD124" s="7"/>
      <c r="AE124" s="7"/>
      <c r="AF124" s="7"/>
      <c r="AG124" s="7"/>
      <c r="AH124" s="7"/>
      <c r="AI124" s="7" t="s">
        <v>170</v>
      </c>
      <c r="AJ124" s="7" t="s">
        <v>171</v>
      </c>
      <c r="AK124" s="7" t="s">
        <v>172</v>
      </c>
      <c r="AL124" s="7"/>
      <c r="AM124" s="10">
        <v>2025</v>
      </c>
      <c r="AN124" s="10">
        <v>2</v>
      </c>
      <c r="AO124" s="9">
        <v>45716</v>
      </c>
      <c r="AP124" s="9">
        <v>45716</v>
      </c>
      <c r="AQ124" s="9">
        <v>45716</v>
      </c>
      <c r="AR124" s="7" t="s">
        <v>173</v>
      </c>
      <c r="AS124" s="7"/>
      <c r="AT124" s="7" t="s">
        <v>202</v>
      </c>
      <c r="AU124" s="7" t="s">
        <v>200</v>
      </c>
      <c r="AV124" s="7"/>
      <c r="AW124" s="7"/>
      <c r="AX124" s="7"/>
      <c r="AY124" s="7" t="s">
        <v>176</v>
      </c>
      <c r="AZ124" s="7" t="s">
        <v>214</v>
      </c>
      <c r="BA124" s="7" t="s">
        <v>178</v>
      </c>
      <c r="BB124" s="12">
        <v>-250</v>
      </c>
      <c r="BC124" s="7" t="s">
        <v>12</v>
      </c>
      <c r="BD124" s="13">
        <v>1.37</v>
      </c>
      <c r="BE124" s="12">
        <v>-342.5</v>
      </c>
      <c r="BF124" s="7" t="s">
        <v>178</v>
      </c>
      <c r="BG124" s="13">
        <v>2.85</v>
      </c>
      <c r="BH124" s="12">
        <v>-976.13</v>
      </c>
      <c r="BI124" s="7"/>
      <c r="BJ124" s="13"/>
      <c r="BK124" s="12"/>
    </row>
    <row r="125" spans="1:63" x14ac:dyDescent="0.35">
      <c r="A125" s="7" t="s">
        <v>151</v>
      </c>
      <c r="B125" s="7" t="s">
        <v>152</v>
      </c>
      <c r="C125" s="7" t="s">
        <v>153</v>
      </c>
      <c r="D125" s="7"/>
      <c r="E125" s="7" t="s">
        <v>208</v>
      </c>
      <c r="F125" s="7" t="s">
        <v>203</v>
      </c>
      <c r="G125" s="7"/>
      <c r="H125" s="7"/>
      <c r="I125" s="7"/>
      <c r="J125" s="7"/>
      <c r="K125" s="7"/>
      <c r="L125" s="7" t="s">
        <v>155</v>
      </c>
      <c r="M125" s="7"/>
      <c r="N125" s="7"/>
      <c r="O125" s="7" t="s">
        <v>214</v>
      </c>
      <c r="P125" s="7" t="s">
        <v>215</v>
      </c>
      <c r="Q125" s="7" t="s">
        <v>204</v>
      </c>
      <c r="R125" s="7" t="s">
        <v>205</v>
      </c>
      <c r="S125" s="7" t="s">
        <v>206</v>
      </c>
      <c r="T125" s="7" t="s">
        <v>207</v>
      </c>
      <c r="U125" s="7"/>
      <c r="V125" s="7" t="s">
        <v>208</v>
      </c>
      <c r="W125" s="7" t="s">
        <v>163</v>
      </c>
      <c r="X125" s="7" t="s">
        <v>164</v>
      </c>
      <c r="Y125" s="7" t="s">
        <v>187</v>
      </c>
      <c r="Z125" s="7" t="s">
        <v>188</v>
      </c>
      <c r="AA125" s="7" t="s">
        <v>167</v>
      </c>
      <c r="AB125" s="7" t="s">
        <v>209</v>
      </c>
      <c r="AC125" s="7" t="s">
        <v>274</v>
      </c>
      <c r="AD125" s="7"/>
      <c r="AE125" s="7"/>
      <c r="AF125" s="7"/>
      <c r="AG125" s="7"/>
      <c r="AH125" s="7"/>
      <c r="AI125" s="7" t="s">
        <v>170</v>
      </c>
      <c r="AJ125" s="7" t="s">
        <v>171</v>
      </c>
      <c r="AK125" s="7" t="s">
        <v>172</v>
      </c>
      <c r="AL125" s="7"/>
      <c r="AM125" s="10">
        <v>2025</v>
      </c>
      <c r="AN125" s="10">
        <v>2</v>
      </c>
      <c r="AO125" s="9">
        <v>45716</v>
      </c>
      <c r="AP125" s="9">
        <v>45716</v>
      </c>
      <c r="AQ125" s="9">
        <v>45716</v>
      </c>
      <c r="AR125" s="7" t="s">
        <v>173</v>
      </c>
      <c r="AS125" s="7"/>
      <c r="AT125" s="7" t="s">
        <v>233</v>
      </c>
      <c r="AU125" s="7" t="s">
        <v>234</v>
      </c>
      <c r="AV125" s="7"/>
      <c r="AW125" s="7"/>
      <c r="AX125" s="7"/>
      <c r="AY125" s="7" t="s">
        <v>181</v>
      </c>
      <c r="AZ125" s="7" t="s">
        <v>214</v>
      </c>
      <c r="BA125" s="7" t="s">
        <v>178</v>
      </c>
      <c r="BB125" s="12">
        <v>250</v>
      </c>
      <c r="BC125" s="7" t="s">
        <v>12</v>
      </c>
      <c r="BD125" s="13">
        <v>1.37</v>
      </c>
      <c r="BE125" s="12">
        <v>342.5</v>
      </c>
      <c r="BF125" s="7" t="s">
        <v>178</v>
      </c>
      <c r="BG125" s="13">
        <v>2.85</v>
      </c>
      <c r="BH125" s="12">
        <v>976.13</v>
      </c>
      <c r="BI125" s="7"/>
      <c r="BJ125" s="13"/>
      <c r="BK125" s="12"/>
    </row>
    <row r="126" spans="1:63" x14ac:dyDescent="0.35">
      <c r="A126" s="7" t="s">
        <v>151</v>
      </c>
      <c r="B126" s="7" t="s">
        <v>152</v>
      </c>
      <c r="C126" s="7" t="s">
        <v>153</v>
      </c>
      <c r="D126" s="7"/>
      <c r="E126" s="7" t="s">
        <v>208</v>
      </c>
      <c r="F126" s="7" t="s">
        <v>203</v>
      </c>
      <c r="G126" s="7"/>
      <c r="H126" s="7"/>
      <c r="I126" s="7"/>
      <c r="J126" s="7"/>
      <c r="K126" s="7"/>
      <c r="L126" s="7" t="s">
        <v>155</v>
      </c>
      <c r="M126" s="7"/>
      <c r="N126" s="7"/>
      <c r="O126" s="7" t="s">
        <v>214</v>
      </c>
      <c r="P126" s="7" t="s">
        <v>215</v>
      </c>
      <c r="Q126" s="7" t="s">
        <v>204</v>
      </c>
      <c r="R126" s="7" t="s">
        <v>205</v>
      </c>
      <c r="S126" s="7" t="s">
        <v>206</v>
      </c>
      <c r="T126" s="7" t="s">
        <v>207</v>
      </c>
      <c r="U126" s="7"/>
      <c r="V126" s="7" t="s">
        <v>208</v>
      </c>
      <c r="W126" s="7" t="s">
        <v>163</v>
      </c>
      <c r="X126" s="7" t="s">
        <v>164</v>
      </c>
      <c r="Y126" s="7" t="s">
        <v>187</v>
      </c>
      <c r="Z126" s="7" t="s">
        <v>188</v>
      </c>
      <c r="AA126" s="7" t="s">
        <v>167</v>
      </c>
      <c r="AB126" s="7" t="s">
        <v>209</v>
      </c>
      <c r="AC126" s="7" t="s">
        <v>274</v>
      </c>
      <c r="AD126" s="7"/>
      <c r="AE126" s="7"/>
      <c r="AF126" s="7"/>
      <c r="AG126" s="7"/>
      <c r="AH126" s="7"/>
      <c r="AI126" s="7" t="s">
        <v>170</v>
      </c>
      <c r="AJ126" s="7" t="s">
        <v>171</v>
      </c>
      <c r="AK126" s="7" t="s">
        <v>172</v>
      </c>
      <c r="AL126" s="7"/>
      <c r="AM126" s="10">
        <v>2025</v>
      </c>
      <c r="AN126" s="10">
        <v>2</v>
      </c>
      <c r="AO126" s="9">
        <v>45716</v>
      </c>
      <c r="AP126" s="9">
        <v>45716</v>
      </c>
      <c r="AQ126" s="9">
        <v>45716</v>
      </c>
      <c r="AR126" s="7" t="s">
        <v>173</v>
      </c>
      <c r="AS126" s="7"/>
      <c r="AT126" s="7" t="s">
        <v>197</v>
      </c>
      <c r="AU126" s="7" t="s">
        <v>198</v>
      </c>
      <c r="AV126" s="7"/>
      <c r="AW126" s="7"/>
      <c r="AX126" s="7"/>
      <c r="AY126" s="7" t="s">
        <v>176</v>
      </c>
      <c r="AZ126" s="7" t="s">
        <v>214</v>
      </c>
      <c r="BA126" s="7" t="s">
        <v>178</v>
      </c>
      <c r="BB126" s="12">
        <v>-6428.93</v>
      </c>
      <c r="BC126" s="7" t="s">
        <v>12</v>
      </c>
      <c r="BD126" s="13">
        <v>1.37</v>
      </c>
      <c r="BE126" s="12">
        <v>-8807.6299999999992</v>
      </c>
      <c r="BF126" s="7" t="s">
        <v>178</v>
      </c>
      <c r="BG126" s="13">
        <v>2.85</v>
      </c>
      <c r="BH126" s="12">
        <v>-25101.75</v>
      </c>
      <c r="BI126" s="7"/>
      <c r="BJ126" s="13"/>
      <c r="BK126" s="12"/>
    </row>
    <row r="127" spans="1:63" x14ac:dyDescent="0.35">
      <c r="A127" s="7" t="s">
        <v>151</v>
      </c>
      <c r="B127" s="7" t="s">
        <v>152</v>
      </c>
      <c r="C127" s="7" t="s">
        <v>153</v>
      </c>
      <c r="D127" s="7"/>
      <c r="E127" s="7"/>
      <c r="F127" s="7" t="s">
        <v>203</v>
      </c>
      <c r="G127" s="7"/>
      <c r="H127" s="7"/>
      <c r="I127" s="7"/>
      <c r="J127" s="7"/>
      <c r="K127" s="7"/>
      <c r="L127" s="7" t="s">
        <v>155</v>
      </c>
      <c r="M127" s="7"/>
      <c r="N127" s="7"/>
      <c r="O127" s="7" t="s">
        <v>214</v>
      </c>
      <c r="P127" s="7" t="s">
        <v>215</v>
      </c>
      <c r="Q127" s="7" t="s">
        <v>204</v>
      </c>
      <c r="R127" s="7" t="s">
        <v>205</v>
      </c>
      <c r="S127" s="7" t="s">
        <v>206</v>
      </c>
      <c r="T127" s="7" t="s">
        <v>207</v>
      </c>
      <c r="U127" s="7"/>
      <c r="V127" s="7" t="s">
        <v>208</v>
      </c>
      <c r="W127" s="7" t="s">
        <v>163</v>
      </c>
      <c r="X127" s="7" t="s">
        <v>164</v>
      </c>
      <c r="Y127" s="7" t="s">
        <v>187</v>
      </c>
      <c r="Z127" s="7" t="s">
        <v>188</v>
      </c>
      <c r="AA127" s="7" t="s">
        <v>167</v>
      </c>
      <c r="AB127" s="7" t="s">
        <v>209</v>
      </c>
      <c r="AC127" s="7" t="s">
        <v>274</v>
      </c>
      <c r="AD127" s="7"/>
      <c r="AE127" s="7"/>
      <c r="AF127" s="7"/>
      <c r="AG127" s="7"/>
      <c r="AH127" s="7"/>
      <c r="AI127" s="7" t="s">
        <v>170</v>
      </c>
      <c r="AJ127" s="7" t="s">
        <v>171</v>
      </c>
      <c r="AK127" s="7" t="s">
        <v>172</v>
      </c>
      <c r="AL127" s="7"/>
      <c r="AM127" s="10">
        <v>2025</v>
      </c>
      <c r="AN127" s="10">
        <v>2</v>
      </c>
      <c r="AO127" s="9">
        <v>45716</v>
      </c>
      <c r="AP127" s="9">
        <v>45716</v>
      </c>
      <c r="AQ127" s="9">
        <v>45716</v>
      </c>
      <c r="AR127" s="7" t="s">
        <v>173</v>
      </c>
      <c r="AS127" s="7"/>
      <c r="AT127" s="7" t="s">
        <v>174</v>
      </c>
      <c r="AU127" s="7" t="s">
        <v>175</v>
      </c>
      <c r="AV127" s="7"/>
      <c r="AW127" s="7"/>
      <c r="AX127" s="7"/>
      <c r="AY127" s="7" t="s">
        <v>181</v>
      </c>
      <c r="AZ127" s="7" t="s">
        <v>214</v>
      </c>
      <c r="BA127" s="7" t="s">
        <v>178</v>
      </c>
      <c r="BB127" s="12">
        <v>6428.93</v>
      </c>
      <c r="BC127" s="7" t="s">
        <v>12</v>
      </c>
      <c r="BD127" s="13">
        <v>1.37</v>
      </c>
      <c r="BE127" s="12">
        <v>8807.6299999999992</v>
      </c>
      <c r="BF127" s="7" t="s">
        <v>178</v>
      </c>
      <c r="BG127" s="13">
        <v>2.85</v>
      </c>
      <c r="BH127" s="12">
        <v>25101.75</v>
      </c>
      <c r="BI127" s="7"/>
      <c r="BJ127" s="13"/>
      <c r="BK127" s="12"/>
    </row>
    <row r="128" spans="1:63" x14ac:dyDescent="0.35">
      <c r="A128" s="7" t="s">
        <v>151</v>
      </c>
      <c r="B128" s="7" t="s">
        <v>152</v>
      </c>
      <c r="C128" s="7" t="s">
        <v>153</v>
      </c>
      <c r="D128" s="7"/>
      <c r="E128" s="7"/>
      <c r="F128" s="7" t="s">
        <v>203</v>
      </c>
      <c r="G128" s="7"/>
      <c r="H128" s="7"/>
      <c r="I128" s="7"/>
      <c r="J128" s="7"/>
      <c r="K128" s="7"/>
      <c r="L128" s="7" t="s">
        <v>155</v>
      </c>
      <c r="M128" s="7"/>
      <c r="N128" s="7"/>
      <c r="O128" s="7" t="s">
        <v>222</v>
      </c>
      <c r="P128" s="7" t="s">
        <v>223</v>
      </c>
      <c r="Q128" s="7" t="s">
        <v>204</v>
      </c>
      <c r="R128" s="7" t="s">
        <v>205</v>
      </c>
      <c r="S128" s="7" t="s">
        <v>206</v>
      </c>
      <c r="T128" s="7" t="s">
        <v>207</v>
      </c>
      <c r="U128" s="7"/>
      <c r="V128" s="7" t="s">
        <v>208</v>
      </c>
      <c r="W128" s="7" t="s">
        <v>163</v>
      </c>
      <c r="X128" s="7" t="s">
        <v>164</v>
      </c>
      <c r="Y128" s="7" t="s">
        <v>187</v>
      </c>
      <c r="Z128" s="7" t="s">
        <v>188</v>
      </c>
      <c r="AA128" s="7" t="s">
        <v>167</v>
      </c>
      <c r="AB128" s="7" t="s">
        <v>209</v>
      </c>
      <c r="AC128" s="7" t="s">
        <v>275</v>
      </c>
      <c r="AD128" s="7"/>
      <c r="AE128" s="7"/>
      <c r="AF128" s="7"/>
      <c r="AG128" s="7"/>
      <c r="AH128" s="7"/>
      <c r="AI128" s="7" t="s">
        <v>170</v>
      </c>
      <c r="AJ128" s="7" t="s">
        <v>171</v>
      </c>
      <c r="AK128" s="7" t="s">
        <v>172</v>
      </c>
      <c r="AL128" s="7"/>
      <c r="AM128" s="10">
        <v>2025</v>
      </c>
      <c r="AN128" s="10">
        <v>2</v>
      </c>
      <c r="AO128" s="9">
        <v>45716</v>
      </c>
      <c r="AP128" s="9">
        <v>45716</v>
      </c>
      <c r="AQ128" s="9">
        <v>45716</v>
      </c>
      <c r="AR128" s="7" t="s">
        <v>173</v>
      </c>
      <c r="AS128" s="7" t="s">
        <v>231</v>
      </c>
      <c r="AT128" s="7" t="s">
        <v>226</v>
      </c>
      <c r="AU128" s="7" t="s">
        <v>265</v>
      </c>
      <c r="AV128" s="7"/>
      <c r="AW128" s="7"/>
      <c r="AX128" s="7"/>
      <c r="AY128" s="7" t="s">
        <v>176</v>
      </c>
      <c r="AZ128" s="7" t="s">
        <v>222</v>
      </c>
      <c r="BA128" s="7" t="s">
        <v>178</v>
      </c>
      <c r="BB128" s="12">
        <v>-6358.63</v>
      </c>
      <c r="BC128" s="7" t="s">
        <v>12</v>
      </c>
      <c r="BD128" s="13">
        <v>1.37</v>
      </c>
      <c r="BE128" s="12">
        <v>-8711.33</v>
      </c>
      <c r="BF128" s="7" t="s">
        <v>178</v>
      </c>
      <c r="BG128" s="13">
        <v>2.85</v>
      </c>
      <c r="BH128" s="12">
        <v>-24827.279999999999</v>
      </c>
      <c r="BI128" s="7"/>
      <c r="BJ128" s="13"/>
      <c r="BK128" s="12"/>
    </row>
    <row r="129" spans="1:63" x14ac:dyDescent="0.35">
      <c r="A129" s="7" t="s">
        <v>151</v>
      </c>
      <c r="B129" s="7" t="s">
        <v>152</v>
      </c>
      <c r="C129" s="7" t="s">
        <v>153</v>
      </c>
      <c r="D129" s="7"/>
      <c r="E129" s="7" t="s">
        <v>208</v>
      </c>
      <c r="F129" s="7" t="s">
        <v>203</v>
      </c>
      <c r="G129" s="7"/>
      <c r="H129" s="7"/>
      <c r="I129" s="7"/>
      <c r="J129" s="7"/>
      <c r="K129" s="7"/>
      <c r="L129" s="7" t="s">
        <v>155</v>
      </c>
      <c r="M129" s="7"/>
      <c r="N129" s="7"/>
      <c r="O129" s="7" t="s">
        <v>222</v>
      </c>
      <c r="P129" s="7" t="s">
        <v>223</v>
      </c>
      <c r="Q129" s="7" t="s">
        <v>204</v>
      </c>
      <c r="R129" s="7" t="s">
        <v>205</v>
      </c>
      <c r="S129" s="7" t="s">
        <v>206</v>
      </c>
      <c r="T129" s="7" t="s">
        <v>207</v>
      </c>
      <c r="U129" s="7"/>
      <c r="V129" s="7" t="s">
        <v>208</v>
      </c>
      <c r="W129" s="7" t="s">
        <v>163</v>
      </c>
      <c r="X129" s="7" t="s">
        <v>164</v>
      </c>
      <c r="Y129" s="7" t="s">
        <v>187</v>
      </c>
      <c r="Z129" s="7" t="s">
        <v>188</v>
      </c>
      <c r="AA129" s="7" t="s">
        <v>167</v>
      </c>
      <c r="AB129" s="7" t="s">
        <v>209</v>
      </c>
      <c r="AC129" s="7" t="s">
        <v>275</v>
      </c>
      <c r="AD129" s="7"/>
      <c r="AE129" s="7"/>
      <c r="AF129" s="7"/>
      <c r="AG129" s="7"/>
      <c r="AH129" s="7"/>
      <c r="AI129" s="7" t="s">
        <v>170</v>
      </c>
      <c r="AJ129" s="7" t="s">
        <v>171</v>
      </c>
      <c r="AK129" s="7" t="s">
        <v>172</v>
      </c>
      <c r="AL129" s="7"/>
      <c r="AM129" s="10">
        <v>2025</v>
      </c>
      <c r="AN129" s="10">
        <v>2</v>
      </c>
      <c r="AO129" s="9">
        <v>45716</v>
      </c>
      <c r="AP129" s="9">
        <v>45716</v>
      </c>
      <c r="AQ129" s="9">
        <v>45716</v>
      </c>
      <c r="AR129" s="7" t="s">
        <v>173</v>
      </c>
      <c r="AS129" s="7" t="s">
        <v>231</v>
      </c>
      <c r="AT129" s="7" t="s">
        <v>228</v>
      </c>
      <c r="AU129" s="7" t="s">
        <v>222</v>
      </c>
      <c r="AV129" s="7"/>
      <c r="AW129" s="7"/>
      <c r="AX129" s="7"/>
      <c r="AY129" s="7" t="s">
        <v>181</v>
      </c>
      <c r="AZ129" s="7" t="s">
        <v>222</v>
      </c>
      <c r="BA129" s="7" t="s">
        <v>178</v>
      </c>
      <c r="BB129" s="12">
        <v>6358.63</v>
      </c>
      <c r="BC129" s="7" t="s">
        <v>12</v>
      </c>
      <c r="BD129" s="13">
        <v>1.37</v>
      </c>
      <c r="BE129" s="12">
        <v>8711.33</v>
      </c>
      <c r="BF129" s="7" t="s">
        <v>178</v>
      </c>
      <c r="BG129" s="13">
        <v>2.85</v>
      </c>
      <c r="BH129" s="12">
        <v>24827.279999999999</v>
      </c>
      <c r="BI129" s="7"/>
      <c r="BJ129" s="13"/>
      <c r="BK129" s="12"/>
    </row>
    <row r="130" spans="1:63" x14ac:dyDescent="0.35">
      <c r="A130" s="7" t="s">
        <v>151</v>
      </c>
      <c r="B130" s="7" t="s">
        <v>152</v>
      </c>
      <c r="C130" s="7" t="s">
        <v>153</v>
      </c>
      <c r="D130" s="7"/>
      <c r="E130" s="7"/>
      <c r="F130" s="7" t="s">
        <v>203</v>
      </c>
      <c r="G130" s="7"/>
      <c r="H130" s="7"/>
      <c r="I130" s="7"/>
      <c r="J130" s="7"/>
      <c r="K130" s="7"/>
      <c r="L130" s="7" t="s">
        <v>155</v>
      </c>
      <c r="M130" s="7"/>
      <c r="N130" s="7"/>
      <c r="O130" s="7" t="s">
        <v>214</v>
      </c>
      <c r="P130" s="7" t="s">
        <v>215</v>
      </c>
      <c r="Q130" s="7" t="s">
        <v>204</v>
      </c>
      <c r="R130" s="7" t="s">
        <v>205</v>
      </c>
      <c r="S130" s="7" t="s">
        <v>206</v>
      </c>
      <c r="T130" s="7" t="s">
        <v>207</v>
      </c>
      <c r="U130" s="7"/>
      <c r="V130" s="7" t="s">
        <v>208</v>
      </c>
      <c r="W130" s="7" t="s">
        <v>163</v>
      </c>
      <c r="X130" s="7" t="s">
        <v>164</v>
      </c>
      <c r="Y130" s="7" t="s">
        <v>165</v>
      </c>
      <c r="Z130" s="7" t="s">
        <v>166</v>
      </c>
      <c r="AA130" s="7" t="s">
        <v>167</v>
      </c>
      <c r="AB130" s="7" t="s">
        <v>209</v>
      </c>
      <c r="AC130" s="7" t="s">
        <v>276</v>
      </c>
      <c r="AD130" s="7"/>
      <c r="AE130" s="7"/>
      <c r="AF130" s="7"/>
      <c r="AG130" s="7"/>
      <c r="AH130" s="7"/>
      <c r="AI130" s="7" t="s">
        <v>170</v>
      </c>
      <c r="AJ130" s="7" t="s">
        <v>171</v>
      </c>
      <c r="AK130" s="7" t="s">
        <v>172</v>
      </c>
      <c r="AL130" s="7"/>
      <c r="AM130" s="10">
        <v>2025</v>
      </c>
      <c r="AN130" s="10">
        <v>2</v>
      </c>
      <c r="AO130" s="9">
        <v>45716</v>
      </c>
      <c r="AP130" s="9">
        <v>45716</v>
      </c>
      <c r="AQ130" s="9">
        <v>45716</v>
      </c>
      <c r="AR130" s="7" t="s">
        <v>173</v>
      </c>
      <c r="AS130" s="7"/>
      <c r="AT130" s="7" t="s">
        <v>211</v>
      </c>
      <c r="AU130" s="7" t="s">
        <v>212</v>
      </c>
      <c r="AV130" s="7"/>
      <c r="AW130" s="7"/>
      <c r="AX130" s="7"/>
      <c r="AY130" s="7" t="s">
        <v>176</v>
      </c>
      <c r="AZ130" s="7" t="s">
        <v>214</v>
      </c>
      <c r="BA130" s="7" t="s">
        <v>178</v>
      </c>
      <c r="BB130" s="12">
        <v>-141.37</v>
      </c>
      <c r="BC130" s="7" t="s">
        <v>12</v>
      </c>
      <c r="BD130" s="13">
        <v>1.37</v>
      </c>
      <c r="BE130" s="12">
        <v>-193.67</v>
      </c>
      <c r="BF130" s="7" t="s">
        <v>178</v>
      </c>
      <c r="BG130" s="13">
        <v>2.85</v>
      </c>
      <c r="BH130" s="12">
        <v>-551.97</v>
      </c>
      <c r="BI130" s="7"/>
      <c r="BJ130" s="13"/>
      <c r="BK130" s="12"/>
    </row>
    <row r="131" spans="1:63" x14ac:dyDescent="0.35">
      <c r="A131" s="7" t="s">
        <v>151</v>
      </c>
      <c r="B131" s="7" t="s">
        <v>152</v>
      </c>
      <c r="C131" s="7" t="s">
        <v>153</v>
      </c>
      <c r="D131" s="7"/>
      <c r="E131" s="7" t="s">
        <v>208</v>
      </c>
      <c r="F131" s="7" t="s">
        <v>203</v>
      </c>
      <c r="G131" s="7"/>
      <c r="H131" s="7"/>
      <c r="I131" s="7"/>
      <c r="J131" s="7"/>
      <c r="K131" s="7"/>
      <c r="L131" s="7" t="s">
        <v>155</v>
      </c>
      <c r="M131" s="7"/>
      <c r="N131" s="7"/>
      <c r="O131" s="7" t="s">
        <v>214</v>
      </c>
      <c r="P131" s="7" t="s">
        <v>215</v>
      </c>
      <c r="Q131" s="7" t="s">
        <v>204</v>
      </c>
      <c r="R131" s="7" t="s">
        <v>205</v>
      </c>
      <c r="S131" s="7" t="s">
        <v>206</v>
      </c>
      <c r="T131" s="7" t="s">
        <v>207</v>
      </c>
      <c r="U131" s="7"/>
      <c r="V131" s="7" t="s">
        <v>208</v>
      </c>
      <c r="W131" s="7" t="s">
        <v>163</v>
      </c>
      <c r="X131" s="7" t="s">
        <v>164</v>
      </c>
      <c r="Y131" s="7" t="s">
        <v>165</v>
      </c>
      <c r="Z131" s="7" t="s">
        <v>166</v>
      </c>
      <c r="AA131" s="7" t="s">
        <v>167</v>
      </c>
      <c r="AB131" s="7" t="s">
        <v>209</v>
      </c>
      <c r="AC131" s="7" t="s">
        <v>276</v>
      </c>
      <c r="AD131" s="7"/>
      <c r="AE131" s="7"/>
      <c r="AF131" s="7"/>
      <c r="AG131" s="7"/>
      <c r="AH131" s="7"/>
      <c r="AI131" s="7" t="s">
        <v>170</v>
      </c>
      <c r="AJ131" s="7" t="s">
        <v>171</v>
      </c>
      <c r="AK131" s="7" t="s">
        <v>172</v>
      </c>
      <c r="AL131" s="7"/>
      <c r="AM131" s="10">
        <v>2025</v>
      </c>
      <c r="AN131" s="10">
        <v>2</v>
      </c>
      <c r="AO131" s="9">
        <v>45716</v>
      </c>
      <c r="AP131" s="9">
        <v>45716</v>
      </c>
      <c r="AQ131" s="9">
        <v>45716</v>
      </c>
      <c r="AR131" s="7" t="s">
        <v>173</v>
      </c>
      <c r="AS131" s="7"/>
      <c r="AT131" s="7" t="s">
        <v>217</v>
      </c>
      <c r="AU131" s="7" t="s">
        <v>218</v>
      </c>
      <c r="AV131" s="7"/>
      <c r="AW131" s="7"/>
      <c r="AX131" s="7"/>
      <c r="AY131" s="7" t="s">
        <v>181</v>
      </c>
      <c r="AZ131" s="7" t="s">
        <v>214</v>
      </c>
      <c r="BA131" s="7" t="s">
        <v>178</v>
      </c>
      <c r="BB131" s="12">
        <v>141.37</v>
      </c>
      <c r="BC131" s="7" t="s">
        <v>12</v>
      </c>
      <c r="BD131" s="13">
        <v>1.37</v>
      </c>
      <c r="BE131" s="12">
        <v>193.67</v>
      </c>
      <c r="BF131" s="7" t="s">
        <v>178</v>
      </c>
      <c r="BG131" s="13">
        <v>2.85</v>
      </c>
      <c r="BH131" s="12">
        <v>551.97</v>
      </c>
      <c r="BI131" s="7"/>
      <c r="BJ131" s="13"/>
      <c r="BK131" s="12"/>
    </row>
    <row r="132" spans="1:63" x14ac:dyDescent="0.35">
      <c r="A132" s="7" t="s">
        <v>151</v>
      </c>
      <c r="B132" s="7" t="s">
        <v>152</v>
      </c>
      <c r="C132" s="7" t="s">
        <v>153</v>
      </c>
      <c r="D132" s="7"/>
      <c r="E132" s="7"/>
      <c r="F132" s="7" t="s">
        <v>203</v>
      </c>
      <c r="G132" s="7"/>
      <c r="H132" s="7"/>
      <c r="I132" s="7"/>
      <c r="J132" s="7"/>
      <c r="K132" s="7"/>
      <c r="L132" s="7" t="s">
        <v>155</v>
      </c>
      <c r="M132" s="7"/>
      <c r="N132" s="7"/>
      <c r="O132" s="7" t="s">
        <v>214</v>
      </c>
      <c r="P132" s="7" t="s">
        <v>215</v>
      </c>
      <c r="Q132" s="7" t="s">
        <v>204</v>
      </c>
      <c r="R132" s="7" t="s">
        <v>205</v>
      </c>
      <c r="S132" s="7" t="s">
        <v>206</v>
      </c>
      <c r="T132" s="7" t="s">
        <v>207</v>
      </c>
      <c r="U132" s="7"/>
      <c r="V132" s="7" t="s">
        <v>208</v>
      </c>
      <c r="W132" s="7" t="s">
        <v>163</v>
      </c>
      <c r="X132" s="7" t="s">
        <v>164</v>
      </c>
      <c r="Y132" s="7" t="s">
        <v>165</v>
      </c>
      <c r="Z132" s="7" t="s">
        <v>166</v>
      </c>
      <c r="AA132" s="7" t="s">
        <v>167</v>
      </c>
      <c r="AB132" s="7" t="s">
        <v>209</v>
      </c>
      <c r="AC132" s="7" t="s">
        <v>276</v>
      </c>
      <c r="AD132" s="7"/>
      <c r="AE132" s="7"/>
      <c r="AF132" s="7"/>
      <c r="AG132" s="7"/>
      <c r="AH132" s="7"/>
      <c r="AI132" s="7" t="s">
        <v>170</v>
      </c>
      <c r="AJ132" s="7" t="s">
        <v>171</v>
      </c>
      <c r="AK132" s="7" t="s">
        <v>172</v>
      </c>
      <c r="AL132" s="7"/>
      <c r="AM132" s="10">
        <v>2025</v>
      </c>
      <c r="AN132" s="10">
        <v>2</v>
      </c>
      <c r="AO132" s="9">
        <v>45716</v>
      </c>
      <c r="AP132" s="9">
        <v>45716</v>
      </c>
      <c r="AQ132" s="9">
        <v>45716</v>
      </c>
      <c r="AR132" s="7" t="s">
        <v>173</v>
      </c>
      <c r="AS132" s="7"/>
      <c r="AT132" s="7" t="s">
        <v>202</v>
      </c>
      <c r="AU132" s="7" t="s">
        <v>200</v>
      </c>
      <c r="AV132" s="7"/>
      <c r="AW132" s="7"/>
      <c r="AX132" s="7"/>
      <c r="AY132" s="7" t="s">
        <v>176</v>
      </c>
      <c r="AZ132" s="7" t="s">
        <v>214</v>
      </c>
      <c r="BA132" s="7" t="s">
        <v>178</v>
      </c>
      <c r="BB132" s="12">
        <v>-250</v>
      </c>
      <c r="BC132" s="7" t="s">
        <v>12</v>
      </c>
      <c r="BD132" s="13">
        <v>1.37</v>
      </c>
      <c r="BE132" s="12">
        <v>-342.5</v>
      </c>
      <c r="BF132" s="7" t="s">
        <v>178</v>
      </c>
      <c r="BG132" s="13">
        <v>2.85</v>
      </c>
      <c r="BH132" s="12">
        <v>-976.13</v>
      </c>
      <c r="BI132" s="7"/>
      <c r="BJ132" s="13"/>
      <c r="BK132" s="12"/>
    </row>
    <row r="133" spans="1:63" x14ac:dyDescent="0.35">
      <c r="A133" s="7" t="s">
        <v>151</v>
      </c>
      <c r="B133" s="7" t="s">
        <v>152</v>
      </c>
      <c r="C133" s="7" t="s">
        <v>153</v>
      </c>
      <c r="D133" s="7"/>
      <c r="E133" s="7" t="s">
        <v>208</v>
      </c>
      <c r="F133" s="7" t="s">
        <v>203</v>
      </c>
      <c r="G133" s="7"/>
      <c r="H133" s="7"/>
      <c r="I133" s="7"/>
      <c r="J133" s="7"/>
      <c r="K133" s="7"/>
      <c r="L133" s="7" t="s">
        <v>155</v>
      </c>
      <c r="M133" s="7"/>
      <c r="N133" s="7"/>
      <c r="O133" s="7" t="s">
        <v>214</v>
      </c>
      <c r="P133" s="7" t="s">
        <v>215</v>
      </c>
      <c r="Q133" s="7" t="s">
        <v>204</v>
      </c>
      <c r="R133" s="7" t="s">
        <v>205</v>
      </c>
      <c r="S133" s="7" t="s">
        <v>206</v>
      </c>
      <c r="T133" s="7" t="s">
        <v>207</v>
      </c>
      <c r="U133" s="7"/>
      <c r="V133" s="7" t="s">
        <v>208</v>
      </c>
      <c r="W133" s="7" t="s">
        <v>163</v>
      </c>
      <c r="X133" s="7" t="s">
        <v>164</v>
      </c>
      <c r="Y133" s="7" t="s">
        <v>165</v>
      </c>
      <c r="Z133" s="7" t="s">
        <v>166</v>
      </c>
      <c r="AA133" s="7" t="s">
        <v>167</v>
      </c>
      <c r="AB133" s="7" t="s">
        <v>209</v>
      </c>
      <c r="AC133" s="7" t="s">
        <v>276</v>
      </c>
      <c r="AD133" s="7"/>
      <c r="AE133" s="7"/>
      <c r="AF133" s="7"/>
      <c r="AG133" s="7"/>
      <c r="AH133" s="7"/>
      <c r="AI133" s="7" t="s">
        <v>170</v>
      </c>
      <c r="AJ133" s="7" t="s">
        <v>171</v>
      </c>
      <c r="AK133" s="7" t="s">
        <v>172</v>
      </c>
      <c r="AL133" s="7"/>
      <c r="AM133" s="10">
        <v>2025</v>
      </c>
      <c r="AN133" s="10">
        <v>2</v>
      </c>
      <c r="AO133" s="9">
        <v>45716</v>
      </c>
      <c r="AP133" s="9">
        <v>45716</v>
      </c>
      <c r="AQ133" s="9">
        <v>45716</v>
      </c>
      <c r="AR133" s="7" t="s">
        <v>173</v>
      </c>
      <c r="AS133" s="7"/>
      <c r="AT133" s="7" t="s">
        <v>233</v>
      </c>
      <c r="AU133" s="7" t="s">
        <v>234</v>
      </c>
      <c r="AV133" s="7"/>
      <c r="AW133" s="7"/>
      <c r="AX133" s="7"/>
      <c r="AY133" s="7" t="s">
        <v>181</v>
      </c>
      <c r="AZ133" s="7" t="s">
        <v>214</v>
      </c>
      <c r="BA133" s="7" t="s">
        <v>178</v>
      </c>
      <c r="BB133" s="12">
        <v>250</v>
      </c>
      <c r="BC133" s="7" t="s">
        <v>12</v>
      </c>
      <c r="BD133" s="13">
        <v>1.37</v>
      </c>
      <c r="BE133" s="12">
        <v>342.5</v>
      </c>
      <c r="BF133" s="7" t="s">
        <v>178</v>
      </c>
      <c r="BG133" s="13">
        <v>2.85</v>
      </c>
      <c r="BH133" s="12">
        <v>976.13</v>
      </c>
      <c r="BI133" s="7"/>
      <c r="BJ133" s="13"/>
      <c r="BK133" s="12"/>
    </row>
    <row r="134" spans="1:63" x14ac:dyDescent="0.35">
      <c r="A134" s="7" t="s">
        <v>151</v>
      </c>
      <c r="B134" s="7" t="s">
        <v>152</v>
      </c>
      <c r="C134" s="7" t="s">
        <v>153</v>
      </c>
      <c r="D134" s="7"/>
      <c r="E134" s="7" t="s">
        <v>208</v>
      </c>
      <c r="F134" s="7" t="s">
        <v>203</v>
      </c>
      <c r="G134" s="7"/>
      <c r="H134" s="7"/>
      <c r="I134" s="7"/>
      <c r="J134" s="7"/>
      <c r="K134" s="7"/>
      <c r="L134" s="7" t="s">
        <v>155</v>
      </c>
      <c r="M134" s="7"/>
      <c r="N134" s="7"/>
      <c r="O134" s="7" t="s">
        <v>214</v>
      </c>
      <c r="P134" s="7" t="s">
        <v>215</v>
      </c>
      <c r="Q134" s="7" t="s">
        <v>204</v>
      </c>
      <c r="R134" s="7" t="s">
        <v>205</v>
      </c>
      <c r="S134" s="7" t="s">
        <v>206</v>
      </c>
      <c r="T134" s="7" t="s">
        <v>207</v>
      </c>
      <c r="U134" s="7"/>
      <c r="V134" s="7" t="s">
        <v>208</v>
      </c>
      <c r="W134" s="7" t="s">
        <v>163</v>
      </c>
      <c r="X134" s="7" t="s">
        <v>164</v>
      </c>
      <c r="Y134" s="7" t="s">
        <v>165</v>
      </c>
      <c r="Z134" s="7" t="s">
        <v>166</v>
      </c>
      <c r="AA134" s="7" t="s">
        <v>167</v>
      </c>
      <c r="AB134" s="7" t="s">
        <v>209</v>
      </c>
      <c r="AC134" s="7" t="s">
        <v>276</v>
      </c>
      <c r="AD134" s="7"/>
      <c r="AE134" s="7"/>
      <c r="AF134" s="7"/>
      <c r="AG134" s="7"/>
      <c r="AH134" s="7"/>
      <c r="AI134" s="7" t="s">
        <v>170</v>
      </c>
      <c r="AJ134" s="7" t="s">
        <v>171</v>
      </c>
      <c r="AK134" s="7" t="s">
        <v>172</v>
      </c>
      <c r="AL134" s="7"/>
      <c r="AM134" s="10">
        <v>2025</v>
      </c>
      <c r="AN134" s="10">
        <v>2</v>
      </c>
      <c r="AO134" s="9">
        <v>45716</v>
      </c>
      <c r="AP134" s="9">
        <v>45716</v>
      </c>
      <c r="AQ134" s="9">
        <v>45716</v>
      </c>
      <c r="AR134" s="7" t="s">
        <v>173</v>
      </c>
      <c r="AS134" s="7"/>
      <c r="AT134" s="7" t="s">
        <v>197</v>
      </c>
      <c r="AU134" s="7" t="s">
        <v>198</v>
      </c>
      <c r="AV134" s="7"/>
      <c r="AW134" s="7"/>
      <c r="AX134" s="7"/>
      <c r="AY134" s="7" t="s">
        <v>176</v>
      </c>
      <c r="AZ134" s="7" t="s">
        <v>214</v>
      </c>
      <c r="BA134" s="7" t="s">
        <v>178</v>
      </c>
      <c r="BB134" s="12">
        <v>-6428.93</v>
      </c>
      <c r="BC134" s="7" t="s">
        <v>12</v>
      </c>
      <c r="BD134" s="13">
        <v>1.37</v>
      </c>
      <c r="BE134" s="12">
        <v>-8807.6299999999992</v>
      </c>
      <c r="BF134" s="7" t="s">
        <v>178</v>
      </c>
      <c r="BG134" s="13">
        <v>2.85</v>
      </c>
      <c r="BH134" s="12">
        <v>-25101.75</v>
      </c>
      <c r="BI134" s="7"/>
      <c r="BJ134" s="13"/>
      <c r="BK134" s="12"/>
    </row>
    <row r="135" spans="1:63" x14ac:dyDescent="0.35">
      <c r="A135" s="7" t="s">
        <v>151</v>
      </c>
      <c r="B135" s="7" t="s">
        <v>152</v>
      </c>
      <c r="C135" s="7" t="s">
        <v>153</v>
      </c>
      <c r="D135" s="7"/>
      <c r="E135" s="7"/>
      <c r="F135" s="7" t="s">
        <v>203</v>
      </c>
      <c r="G135" s="7"/>
      <c r="H135" s="7"/>
      <c r="I135" s="7"/>
      <c r="J135" s="7"/>
      <c r="K135" s="7"/>
      <c r="L135" s="7" t="s">
        <v>155</v>
      </c>
      <c r="M135" s="7"/>
      <c r="N135" s="7"/>
      <c r="O135" s="7" t="s">
        <v>214</v>
      </c>
      <c r="P135" s="7" t="s">
        <v>215</v>
      </c>
      <c r="Q135" s="7" t="s">
        <v>204</v>
      </c>
      <c r="R135" s="7" t="s">
        <v>205</v>
      </c>
      <c r="S135" s="7" t="s">
        <v>206</v>
      </c>
      <c r="T135" s="7" t="s">
        <v>207</v>
      </c>
      <c r="U135" s="7"/>
      <c r="V135" s="7" t="s">
        <v>208</v>
      </c>
      <c r="W135" s="7" t="s">
        <v>163</v>
      </c>
      <c r="X135" s="7" t="s">
        <v>164</v>
      </c>
      <c r="Y135" s="7" t="s">
        <v>165</v>
      </c>
      <c r="Z135" s="7" t="s">
        <v>166</v>
      </c>
      <c r="AA135" s="7" t="s">
        <v>167</v>
      </c>
      <c r="AB135" s="7" t="s">
        <v>209</v>
      </c>
      <c r="AC135" s="7" t="s">
        <v>276</v>
      </c>
      <c r="AD135" s="7"/>
      <c r="AE135" s="7"/>
      <c r="AF135" s="7"/>
      <c r="AG135" s="7"/>
      <c r="AH135" s="7"/>
      <c r="AI135" s="7" t="s">
        <v>170</v>
      </c>
      <c r="AJ135" s="7" t="s">
        <v>171</v>
      </c>
      <c r="AK135" s="7" t="s">
        <v>172</v>
      </c>
      <c r="AL135" s="7"/>
      <c r="AM135" s="10">
        <v>2025</v>
      </c>
      <c r="AN135" s="10">
        <v>2</v>
      </c>
      <c r="AO135" s="9">
        <v>45716</v>
      </c>
      <c r="AP135" s="9">
        <v>45716</v>
      </c>
      <c r="AQ135" s="9">
        <v>45716</v>
      </c>
      <c r="AR135" s="7" t="s">
        <v>173</v>
      </c>
      <c r="AS135" s="7"/>
      <c r="AT135" s="7" t="s">
        <v>174</v>
      </c>
      <c r="AU135" s="7" t="s">
        <v>175</v>
      </c>
      <c r="AV135" s="7"/>
      <c r="AW135" s="7"/>
      <c r="AX135" s="7"/>
      <c r="AY135" s="7" t="s">
        <v>181</v>
      </c>
      <c r="AZ135" s="7" t="s">
        <v>214</v>
      </c>
      <c r="BA135" s="7" t="s">
        <v>178</v>
      </c>
      <c r="BB135" s="12">
        <v>6428.93</v>
      </c>
      <c r="BC135" s="7" t="s">
        <v>12</v>
      </c>
      <c r="BD135" s="13">
        <v>1.37</v>
      </c>
      <c r="BE135" s="12">
        <v>8807.6299999999992</v>
      </c>
      <c r="BF135" s="7" t="s">
        <v>178</v>
      </c>
      <c r="BG135" s="13">
        <v>2.85</v>
      </c>
      <c r="BH135" s="12">
        <v>25101.75</v>
      </c>
      <c r="BI135" s="7"/>
      <c r="BJ135" s="13"/>
      <c r="BK135" s="12"/>
    </row>
    <row r="136" spans="1:63" x14ac:dyDescent="0.35">
      <c r="A136" s="7" t="s">
        <v>151</v>
      </c>
      <c r="B136" s="7" t="s">
        <v>152</v>
      </c>
      <c r="C136" s="7" t="s">
        <v>153</v>
      </c>
      <c r="D136" s="7"/>
      <c r="E136" s="7"/>
      <c r="F136" s="7" t="s">
        <v>203</v>
      </c>
      <c r="G136" s="7"/>
      <c r="H136" s="7"/>
      <c r="I136" s="7"/>
      <c r="J136" s="7"/>
      <c r="K136" s="7"/>
      <c r="L136" s="7" t="s">
        <v>155</v>
      </c>
      <c r="M136" s="7"/>
      <c r="N136" s="7"/>
      <c r="O136" s="7" t="s">
        <v>222</v>
      </c>
      <c r="P136" s="7" t="s">
        <v>223</v>
      </c>
      <c r="Q136" s="7" t="s">
        <v>204</v>
      </c>
      <c r="R136" s="7" t="s">
        <v>205</v>
      </c>
      <c r="S136" s="7" t="s">
        <v>206</v>
      </c>
      <c r="T136" s="7" t="s">
        <v>207</v>
      </c>
      <c r="U136" s="7"/>
      <c r="V136" s="7" t="s">
        <v>208</v>
      </c>
      <c r="W136" s="7" t="s">
        <v>163</v>
      </c>
      <c r="X136" s="7" t="s">
        <v>164</v>
      </c>
      <c r="Y136" s="7" t="s">
        <v>165</v>
      </c>
      <c r="Z136" s="7" t="s">
        <v>166</v>
      </c>
      <c r="AA136" s="7" t="s">
        <v>167</v>
      </c>
      <c r="AB136" s="7" t="s">
        <v>209</v>
      </c>
      <c r="AC136" s="7" t="s">
        <v>277</v>
      </c>
      <c r="AD136" s="7"/>
      <c r="AE136" s="7"/>
      <c r="AF136" s="7"/>
      <c r="AG136" s="7"/>
      <c r="AH136" s="7"/>
      <c r="AI136" s="7" t="s">
        <v>170</v>
      </c>
      <c r="AJ136" s="7" t="s">
        <v>171</v>
      </c>
      <c r="AK136" s="7" t="s">
        <v>172</v>
      </c>
      <c r="AL136" s="7"/>
      <c r="AM136" s="10">
        <v>2025</v>
      </c>
      <c r="AN136" s="10">
        <v>2</v>
      </c>
      <c r="AO136" s="9">
        <v>45716</v>
      </c>
      <c r="AP136" s="9">
        <v>45716</v>
      </c>
      <c r="AQ136" s="9">
        <v>45716</v>
      </c>
      <c r="AR136" s="7" t="s">
        <v>173</v>
      </c>
      <c r="AS136" s="7" t="s">
        <v>225</v>
      </c>
      <c r="AT136" s="7" t="s">
        <v>226</v>
      </c>
      <c r="AU136" s="7" t="s">
        <v>265</v>
      </c>
      <c r="AV136" s="7"/>
      <c r="AW136" s="7"/>
      <c r="AX136" s="7"/>
      <c r="AY136" s="7" t="s">
        <v>176</v>
      </c>
      <c r="AZ136" s="7" t="s">
        <v>222</v>
      </c>
      <c r="BA136" s="7" t="s">
        <v>178</v>
      </c>
      <c r="BB136" s="12">
        <v>-6406.72</v>
      </c>
      <c r="BC136" s="7" t="s">
        <v>12</v>
      </c>
      <c r="BD136" s="13">
        <v>1.37</v>
      </c>
      <c r="BE136" s="12">
        <v>-8777.2000000000007</v>
      </c>
      <c r="BF136" s="7" t="s">
        <v>178</v>
      </c>
      <c r="BG136" s="13">
        <v>2.85</v>
      </c>
      <c r="BH136" s="12">
        <v>-25015.02</v>
      </c>
      <c r="BI136" s="7"/>
      <c r="BJ136" s="13"/>
      <c r="BK136" s="12"/>
    </row>
    <row r="137" spans="1:63" x14ac:dyDescent="0.35">
      <c r="A137" s="7" t="s">
        <v>151</v>
      </c>
      <c r="B137" s="7" t="s">
        <v>152</v>
      </c>
      <c r="C137" s="7" t="s">
        <v>153</v>
      </c>
      <c r="D137" s="7"/>
      <c r="E137" s="7" t="s">
        <v>208</v>
      </c>
      <c r="F137" s="7" t="s">
        <v>203</v>
      </c>
      <c r="G137" s="7"/>
      <c r="H137" s="7"/>
      <c r="I137" s="7"/>
      <c r="J137" s="7"/>
      <c r="K137" s="7"/>
      <c r="L137" s="7" t="s">
        <v>155</v>
      </c>
      <c r="M137" s="7"/>
      <c r="N137" s="7"/>
      <c r="O137" s="7" t="s">
        <v>222</v>
      </c>
      <c r="P137" s="7" t="s">
        <v>223</v>
      </c>
      <c r="Q137" s="7" t="s">
        <v>204</v>
      </c>
      <c r="R137" s="7" t="s">
        <v>205</v>
      </c>
      <c r="S137" s="7" t="s">
        <v>206</v>
      </c>
      <c r="T137" s="7" t="s">
        <v>207</v>
      </c>
      <c r="U137" s="7"/>
      <c r="V137" s="7" t="s">
        <v>208</v>
      </c>
      <c r="W137" s="7" t="s">
        <v>163</v>
      </c>
      <c r="X137" s="7" t="s">
        <v>164</v>
      </c>
      <c r="Y137" s="7" t="s">
        <v>165</v>
      </c>
      <c r="Z137" s="7" t="s">
        <v>166</v>
      </c>
      <c r="AA137" s="7" t="s">
        <v>167</v>
      </c>
      <c r="AB137" s="7" t="s">
        <v>209</v>
      </c>
      <c r="AC137" s="7" t="s">
        <v>277</v>
      </c>
      <c r="AD137" s="7"/>
      <c r="AE137" s="7"/>
      <c r="AF137" s="7"/>
      <c r="AG137" s="7"/>
      <c r="AH137" s="7"/>
      <c r="AI137" s="7" t="s">
        <v>170</v>
      </c>
      <c r="AJ137" s="7" t="s">
        <v>171</v>
      </c>
      <c r="AK137" s="7" t="s">
        <v>172</v>
      </c>
      <c r="AL137" s="7"/>
      <c r="AM137" s="10">
        <v>2025</v>
      </c>
      <c r="AN137" s="10">
        <v>2</v>
      </c>
      <c r="AO137" s="9">
        <v>45716</v>
      </c>
      <c r="AP137" s="9">
        <v>45716</v>
      </c>
      <c r="AQ137" s="9">
        <v>45716</v>
      </c>
      <c r="AR137" s="7" t="s">
        <v>173</v>
      </c>
      <c r="AS137" s="7" t="s">
        <v>225</v>
      </c>
      <c r="AT137" s="7" t="s">
        <v>228</v>
      </c>
      <c r="AU137" s="7" t="s">
        <v>222</v>
      </c>
      <c r="AV137" s="7"/>
      <c r="AW137" s="7"/>
      <c r="AX137" s="7"/>
      <c r="AY137" s="7" t="s">
        <v>181</v>
      </c>
      <c r="AZ137" s="7" t="s">
        <v>222</v>
      </c>
      <c r="BA137" s="7" t="s">
        <v>178</v>
      </c>
      <c r="BB137" s="12">
        <v>6406.72</v>
      </c>
      <c r="BC137" s="7" t="s">
        <v>12</v>
      </c>
      <c r="BD137" s="13">
        <v>1.37</v>
      </c>
      <c r="BE137" s="12">
        <v>8777.2000000000007</v>
      </c>
      <c r="BF137" s="7" t="s">
        <v>178</v>
      </c>
      <c r="BG137" s="13">
        <v>2.85</v>
      </c>
      <c r="BH137" s="12">
        <v>25015.02</v>
      </c>
      <c r="BI137" s="7"/>
      <c r="BJ137" s="13"/>
      <c r="BK137" s="12"/>
    </row>
  </sheetData>
  <autoFilter ref="A27:BK137" xr:uid="{00000000-0009-0000-0000-000000000000}"/>
  <mergeCells count="7">
    <mergeCell ref="A19:A24"/>
    <mergeCell ref="B19:B24"/>
    <mergeCell ref="A1:F1"/>
    <mergeCell ref="A2:F2"/>
    <mergeCell ref="A3:B3"/>
    <mergeCell ref="C3:D3"/>
    <mergeCell ref="E3:F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39EC8-A3D4-4360-ADE1-F88BFCDE3DA9}">
  <dimension ref="A1:H27"/>
  <sheetViews>
    <sheetView workbookViewId="0">
      <selection activeCell="D17" sqref="D17:E22"/>
    </sheetView>
  </sheetViews>
  <sheetFormatPr defaultRowHeight="14.5" x14ac:dyDescent="0.35"/>
  <cols>
    <col min="1" max="1" width="28.1796875" bestFit="1" customWidth="1"/>
    <col min="2" max="2" width="31.54296875" bestFit="1" customWidth="1"/>
    <col min="3" max="3" width="23" bestFit="1" customWidth="1"/>
    <col min="4" max="4" width="31.54296875" bestFit="1" customWidth="1"/>
    <col min="5" max="5" width="32.453125" bestFit="1" customWidth="1"/>
    <col min="6" max="6" width="39.81640625" customWidth="1"/>
    <col min="7" max="7" width="40.81640625" customWidth="1"/>
  </cols>
  <sheetData>
    <row r="1" spans="1:8" x14ac:dyDescent="0.35">
      <c r="A1" s="15" t="s">
        <v>127</v>
      </c>
      <c r="B1" s="17">
        <v>2025</v>
      </c>
    </row>
    <row r="2" spans="1:8" x14ac:dyDescent="0.35">
      <c r="A2" s="15" t="s">
        <v>128</v>
      </c>
      <c r="B2" t="s">
        <v>278</v>
      </c>
    </row>
    <row r="3" spans="1:8" x14ac:dyDescent="0.35">
      <c r="A3" s="15" t="s">
        <v>69</v>
      </c>
      <c r="B3" t="s">
        <v>187</v>
      </c>
    </row>
    <row r="5" spans="1:8" x14ac:dyDescent="0.35">
      <c r="A5" s="15" t="s">
        <v>140</v>
      </c>
      <c r="B5" s="15" t="s">
        <v>133</v>
      </c>
      <c r="C5" s="15" t="s">
        <v>134</v>
      </c>
      <c r="D5" t="s">
        <v>238</v>
      </c>
      <c r="E5" t="s">
        <v>239</v>
      </c>
      <c r="F5" s="62" t="s">
        <v>279</v>
      </c>
      <c r="G5" s="62" t="s">
        <v>280</v>
      </c>
    </row>
    <row r="6" spans="1:8" x14ac:dyDescent="0.35">
      <c r="A6" t="s">
        <v>9</v>
      </c>
      <c r="B6" t="s">
        <v>226</v>
      </c>
      <c r="C6" t="s">
        <v>265</v>
      </c>
      <c r="D6" s="16">
        <v>-15644.2</v>
      </c>
      <c r="E6" s="16">
        <v>-24092.059999999998</v>
      </c>
      <c r="G6" s="63">
        <f>GETPIVOTDATA("Sum of Amount in Company Currency",$A$5,"Account Number","0000159010","Account Name","Accumulated Depreciation ","Contract Currency","EUR")</f>
        <v>-24092.059999999998</v>
      </c>
    </row>
    <row r="7" spans="1:8" x14ac:dyDescent="0.35">
      <c r="A7" t="s">
        <v>9</v>
      </c>
      <c r="B7" t="s">
        <v>179</v>
      </c>
      <c r="C7" t="s">
        <v>180</v>
      </c>
      <c r="D7" s="16">
        <v>0</v>
      </c>
      <c r="E7" s="16">
        <v>0</v>
      </c>
      <c r="G7" s="63">
        <f>GETPIVOTDATA("Sum of Amount in Company Currency",$A$5,"Account Number","0000159999","Account Name","Asset Clearing","Contract Currency","EUR")</f>
        <v>0</v>
      </c>
    </row>
    <row r="8" spans="1:8" x14ac:dyDescent="0.35">
      <c r="A8" t="s">
        <v>9</v>
      </c>
      <c r="B8" t="s">
        <v>195</v>
      </c>
      <c r="C8" t="s">
        <v>196</v>
      </c>
      <c r="D8" s="16">
        <v>-17800</v>
      </c>
      <c r="E8" s="16">
        <v>-27412</v>
      </c>
      <c r="F8" s="61">
        <v>-1246</v>
      </c>
      <c r="G8" s="63">
        <f>GETPIVOTDATA("Sum of Amount in Company Currency",$A$5,"Account Number","0000200500","Account Name","AP Clearing","Contract Currency","EUR")+F8</f>
        <v>-28658</v>
      </c>
    </row>
    <row r="9" spans="1:8" x14ac:dyDescent="0.35">
      <c r="A9" t="s">
        <v>9</v>
      </c>
      <c r="B9" t="s">
        <v>185</v>
      </c>
      <c r="C9" t="s">
        <v>186</v>
      </c>
      <c r="D9" s="16">
        <v>189810.28</v>
      </c>
      <c r="E9" s="16">
        <v>292307.83</v>
      </c>
      <c r="G9" s="63">
        <f>GETPIVOTDATA("Sum of Amount in Company Currency",$A$5,"Account Number","0000210503","Account Name","ROU_ASSET","Contract Currency","EUR")</f>
        <v>292307.83</v>
      </c>
    </row>
    <row r="10" spans="1:8" x14ac:dyDescent="0.35">
      <c r="A10" t="s">
        <v>9</v>
      </c>
      <c r="B10" t="s">
        <v>211</v>
      </c>
      <c r="C10" t="s">
        <v>212</v>
      </c>
      <c r="D10" s="16">
        <v>-173.99</v>
      </c>
      <c r="E10" s="16">
        <v>-267.95000000000005</v>
      </c>
      <c r="G10" s="63">
        <f>GETPIVOTDATA("Sum of Amount in Company Currency",$A$5,"Account Number","0000270000","Account Name","Accrued Interest","Contract Currency","EUR")</f>
        <v>-267.95000000000005</v>
      </c>
    </row>
    <row r="11" spans="1:8" x14ac:dyDescent="0.35">
      <c r="A11" t="s">
        <v>9</v>
      </c>
      <c r="B11" t="s">
        <v>202</v>
      </c>
      <c r="C11" t="s">
        <v>200</v>
      </c>
      <c r="D11" s="16">
        <v>0</v>
      </c>
      <c r="E11" s="16">
        <v>0</v>
      </c>
      <c r="G11" s="63">
        <f>GETPIVOTDATA("Sum of Amount in Company Currency",$A$5,"Account Number","0000280000","Account Name","Non-Lease Accrual","Contract Currency","EUR")</f>
        <v>0</v>
      </c>
    </row>
    <row r="12" spans="1:8" x14ac:dyDescent="0.35">
      <c r="A12" t="s">
        <v>9</v>
      </c>
      <c r="B12" t="s">
        <v>197</v>
      </c>
      <c r="C12" t="s">
        <v>198</v>
      </c>
      <c r="D12" s="16">
        <v>-94430.34</v>
      </c>
      <c r="E12" s="16">
        <v>-145422.72</v>
      </c>
      <c r="F12" s="61">
        <v>-13207.039999999979</v>
      </c>
      <c r="G12" s="63">
        <f>GETPIVOTDATA("Sum of Amount in Company Currency",$A$5,"Account Number","0000280900","Account Name","st lease","Contract Currency","EUR")+F12</f>
        <v>-158629.75999999998</v>
      </c>
    </row>
    <row r="13" spans="1:8" x14ac:dyDescent="0.35">
      <c r="A13" t="s">
        <v>9</v>
      </c>
      <c r="B13" t="s">
        <v>174</v>
      </c>
      <c r="C13" t="s">
        <v>175</v>
      </c>
      <c r="D13" s="16">
        <v>-79561.75</v>
      </c>
      <c r="E13" s="16">
        <v>-122525.10000000003</v>
      </c>
      <c r="F13" s="61">
        <v>-12246.400399999984</v>
      </c>
      <c r="G13" s="63">
        <f>GETPIVOTDATA("Sum of Amount in Company Currency",$A$5,"Account Number","0000280903","Account Name","LT Lease Payable","Contract Currency","EUR")+F13</f>
        <v>-134771.50040000002</v>
      </c>
    </row>
    <row r="14" spans="1:8" x14ac:dyDescent="0.35">
      <c r="A14" t="s">
        <v>9</v>
      </c>
      <c r="B14" t="s">
        <v>217</v>
      </c>
      <c r="C14" t="s">
        <v>218</v>
      </c>
      <c r="D14" s="16">
        <v>355.8</v>
      </c>
      <c r="E14" s="16">
        <v>547.94000000000005</v>
      </c>
      <c r="G14" s="63">
        <f>GETPIVOTDATA("Sum of Amount in Company Currency",$A$5,"Account Number","0000600000","Account Name","Interest","Contract Currency","EUR")</f>
        <v>547.94000000000005</v>
      </c>
      <c r="H14" t="s">
        <v>240</v>
      </c>
    </row>
    <row r="15" spans="1:8" x14ac:dyDescent="0.35">
      <c r="A15" t="s">
        <v>9</v>
      </c>
      <c r="B15" t="s">
        <v>228</v>
      </c>
      <c r="C15" t="s">
        <v>222</v>
      </c>
      <c r="D15" s="16">
        <v>15644.2</v>
      </c>
      <c r="E15" s="16">
        <v>24092.059999999998</v>
      </c>
      <c r="G15" s="63">
        <f>GETPIVOTDATA("Sum of Amount in Company Currency",$A$5,"Account Number","0000700006","Account Name","Depreciation","Contract Currency","EUR")</f>
        <v>24092.059999999998</v>
      </c>
      <c r="H15" t="s">
        <v>240</v>
      </c>
    </row>
    <row r="16" spans="1:8" x14ac:dyDescent="0.35">
      <c r="A16" t="s">
        <v>9</v>
      </c>
      <c r="B16" t="s">
        <v>219</v>
      </c>
      <c r="C16" t="s">
        <v>220</v>
      </c>
      <c r="D16" s="16">
        <v>1800</v>
      </c>
      <c r="E16" s="16">
        <v>2772</v>
      </c>
      <c r="G16" s="63">
        <f>GETPIVOTDATA("Sum of Amount in Company Currency",$A$5,"Account Number","0000710300","Account Name","Parking","Contract Currency","EUR")</f>
        <v>2772</v>
      </c>
      <c r="H16" t="s">
        <v>240</v>
      </c>
    </row>
    <row r="17" spans="1:8" x14ac:dyDescent="0.35">
      <c r="A17" t="s">
        <v>178</v>
      </c>
      <c r="B17" t="s">
        <v>226</v>
      </c>
      <c r="C17" t="s">
        <v>265</v>
      </c>
      <c r="D17" s="16">
        <v>-12710.91</v>
      </c>
      <c r="E17" s="16">
        <v>-17413.95</v>
      </c>
      <c r="G17" s="63">
        <f>GETPIVOTDATA("Sum of Amount in Company Currency",$A$5,"Account Number","0000159010","Account Name","Accumulated Depreciation ","Contract Currency","USD")</f>
        <v>-17413.95</v>
      </c>
    </row>
    <row r="18" spans="1:8" x14ac:dyDescent="0.35">
      <c r="A18" t="s">
        <v>178</v>
      </c>
      <c r="B18" t="s">
        <v>195</v>
      </c>
      <c r="C18" t="s">
        <v>196</v>
      </c>
      <c r="D18" s="16">
        <v>-13500</v>
      </c>
      <c r="E18" s="16">
        <v>-18495</v>
      </c>
      <c r="G18" s="63">
        <f>GETPIVOTDATA("Sum of Amount in Company Currency",$A$5,"Account Number","0000200500","Account Name","AP Clearing","Contract Currency","USD")</f>
        <v>-18495</v>
      </c>
    </row>
    <row r="19" spans="1:8" x14ac:dyDescent="0.35">
      <c r="A19" t="s">
        <v>178</v>
      </c>
      <c r="B19" t="s">
        <v>211</v>
      </c>
      <c r="C19" t="s">
        <v>212</v>
      </c>
      <c r="D19" s="16">
        <v>12.699999999999989</v>
      </c>
      <c r="E19" s="16">
        <v>17.400000000000006</v>
      </c>
      <c r="G19" s="63">
        <f>GETPIVOTDATA("Sum of Amount in Company Currency",$A$5,"Account Number","0000270000","Account Name","Accrued Interest","Contract Currency","USD")</f>
        <v>17.400000000000006</v>
      </c>
    </row>
    <row r="20" spans="1:8" x14ac:dyDescent="0.35">
      <c r="A20" t="s">
        <v>178</v>
      </c>
      <c r="B20" t="s">
        <v>202</v>
      </c>
      <c r="C20" t="s">
        <v>200</v>
      </c>
      <c r="D20" s="16">
        <v>0</v>
      </c>
      <c r="E20" s="16">
        <v>0</v>
      </c>
      <c r="G20" s="63">
        <f>GETPIVOTDATA("Sum of Amount in Company Currency",$A$5,"Account Number","0000280000","Account Name","Non-Lease Accrual","Contract Currency","USD")</f>
        <v>0</v>
      </c>
    </row>
    <row r="21" spans="1:8" x14ac:dyDescent="0.35">
      <c r="A21" t="s">
        <v>178</v>
      </c>
      <c r="B21" t="s">
        <v>197</v>
      </c>
      <c r="C21" t="s">
        <v>198</v>
      </c>
      <c r="D21" s="16">
        <v>-153.22000000000025</v>
      </c>
      <c r="E21" s="16">
        <v>-209.90999999999804</v>
      </c>
      <c r="G21" s="63">
        <f>GETPIVOTDATA("Sum of Amount in Company Currency",$A$5,"Account Number","0000280900","Account Name","st lease","Contract Currency","USD")</f>
        <v>-209.90999999999804</v>
      </c>
    </row>
    <row r="22" spans="1:8" x14ac:dyDescent="0.35">
      <c r="A22" t="s">
        <v>178</v>
      </c>
      <c r="B22" t="s">
        <v>174</v>
      </c>
      <c r="C22" t="s">
        <v>175</v>
      </c>
      <c r="D22" s="16">
        <v>12851.43</v>
      </c>
      <c r="E22" s="16">
        <v>17606.46</v>
      </c>
      <c r="F22" s="61">
        <v>1220.2800000000007</v>
      </c>
      <c r="G22" s="63">
        <f>GETPIVOTDATA("Sum of Amount in Company Currency",$A$5,"Account Number","0000280903","Account Name","LT Lease Payable","Contract Currency","USD")-F22</f>
        <v>16386.18</v>
      </c>
    </row>
    <row r="23" spans="1:8" x14ac:dyDescent="0.35">
      <c r="A23" t="s">
        <v>178</v>
      </c>
      <c r="B23" t="s">
        <v>217</v>
      </c>
      <c r="C23" t="s">
        <v>218</v>
      </c>
      <c r="D23" s="16">
        <v>289.09000000000003</v>
      </c>
      <c r="E23" s="16">
        <v>396.04999999999995</v>
      </c>
      <c r="G23" s="63">
        <f>GETPIVOTDATA("Sum of Amount in Company Currency",$A$5,"Account Number","0000600000","Account Name","Interest","Contract Currency","USD")</f>
        <v>396.04999999999995</v>
      </c>
      <c r="H23" t="s">
        <v>240</v>
      </c>
    </row>
    <row r="24" spans="1:8" x14ac:dyDescent="0.35">
      <c r="A24" t="s">
        <v>178</v>
      </c>
      <c r="B24" t="s">
        <v>228</v>
      </c>
      <c r="C24" t="s">
        <v>222</v>
      </c>
      <c r="D24" s="16">
        <v>12710.91</v>
      </c>
      <c r="E24" s="16">
        <v>17413.95</v>
      </c>
      <c r="G24" s="63">
        <f>GETPIVOTDATA("Sum of Amount in Company Currency",$A$5,"Account Number","0000700006","Account Name","Depreciation","Contract Currency","USD")</f>
        <v>17413.95</v>
      </c>
      <c r="H24" t="s">
        <v>240</v>
      </c>
    </row>
    <row r="25" spans="1:8" x14ac:dyDescent="0.35">
      <c r="A25" t="s">
        <v>178</v>
      </c>
      <c r="B25" t="s">
        <v>233</v>
      </c>
      <c r="C25" t="s">
        <v>234</v>
      </c>
      <c r="D25" s="16">
        <v>500</v>
      </c>
      <c r="E25" s="16">
        <v>685</v>
      </c>
      <c r="G25" s="63">
        <f>GETPIVOTDATA("Sum of Amount in Company Currency",$A$5,"Account Number","0000710500","Account Name","Services","Contract Currency","USD")</f>
        <v>685</v>
      </c>
      <c r="H25" t="s">
        <v>240</v>
      </c>
    </row>
    <row r="26" spans="1:8" x14ac:dyDescent="0.35">
      <c r="A26" t="s">
        <v>241</v>
      </c>
      <c r="D26" s="16">
        <v>2.9103830456733704E-11</v>
      </c>
      <c r="E26" s="16">
        <v>-2.9103830456733704E-11</v>
      </c>
      <c r="G26" s="61"/>
    </row>
    <row r="27" spans="1:8" x14ac:dyDescent="0.35">
      <c r="F27" s="6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04C18-8BC0-4C3F-B52F-323F70A99649}">
  <dimension ref="A2:M51"/>
  <sheetViews>
    <sheetView showGridLines="0" workbookViewId="0">
      <selection activeCell="F30" sqref="F30"/>
    </sheetView>
  </sheetViews>
  <sheetFormatPr defaultColWidth="8.7265625" defaultRowHeight="14.5" x14ac:dyDescent="0.35"/>
  <cols>
    <col min="1" max="1" width="18.7265625" style="19" customWidth="1"/>
    <col min="2" max="2" width="46.7265625" style="19" customWidth="1"/>
    <col min="3" max="3" width="28.453125" style="19" customWidth="1"/>
    <col min="4" max="4" width="24.54296875" style="19" customWidth="1"/>
    <col min="5" max="5" width="12.453125" style="19" customWidth="1"/>
    <col min="6" max="6" width="29.81640625" style="19" customWidth="1"/>
    <col min="7" max="7" width="26.54296875" style="19" customWidth="1"/>
    <col min="8" max="8" width="24.453125" style="20" customWidth="1"/>
    <col min="9" max="9" width="29.26953125" style="19" customWidth="1"/>
    <col min="10" max="10" width="26.54296875" style="19" customWidth="1"/>
    <col min="11" max="11" width="23" style="19" customWidth="1"/>
    <col min="12" max="12" width="11.26953125" style="19" customWidth="1"/>
    <col min="13" max="16384" width="8.7265625" style="19"/>
  </cols>
  <sheetData>
    <row r="2" spans="1:13" x14ac:dyDescent="0.35">
      <c r="A2" s="19" t="s">
        <v>140</v>
      </c>
      <c r="B2" s="19" t="s">
        <v>12</v>
      </c>
    </row>
    <row r="3" spans="1:13" x14ac:dyDescent="0.35">
      <c r="A3" s="19" t="s">
        <v>4</v>
      </c>
      <c r="B3" s="19" t="s">
        <v>5</v>
      </c>
    </row>
    <row r="4" spans="1:13" ht="15" thickBot="1" x14ac:dyDescent="0.4"/>
    <row r="5" spans="1:13" ht="15" thickBot="1" x14ac:dyDescent="0.4">
      <c r="A5" s="65" t="s">
        <v>242</v>
      </c>
      <c r="B5" s="66"/>
      <c r="C5" s="66"/>
      <c r="D5" s="66"/>
      <c r="E5" s="66"/>
      <c r="F5" s="66"/>
      <c r="G5" s="66"/>
      <c r="H5" s="66"/>
      <c r="I5" s="66"/>
      <c r="J5" s="66"/>
      <c r="K5" s="67"/>
    </row>
    <row r="6" spans="1:13" ht="15" thickBot="1" x14ac:dyDescent="0.4"/>
    <row r="7" spans="1:13" ht="15" thickBot="1" x14ac:dyDescent="0.4">
      <c r="A7" s="21" t="s">
        <v>243</v>
      </c>
      <c r="E7" s="22"/>
      <c r="F7" s="68" t="s">
        <v>244</v>
      </c>
      <c r="G7" s="69"/>
      <c r="I7" s="70" t="s">
        <v>245</v>
      </c>
      <c r="J7" s="71"/>
    </row>
    <row r="8" spans="1:13" ht="29" x14ac:dyDescent="0.35">
      <c r="A8" s="23" t="s">
        <v>246</v>
      </c>
      <c r="B8" s="23" t="s">
        <v>134</v>
      </c>
      <c r="C8" s="24" t="s">
        <v>247</v>
      </c>
      <c r="D8" s="24" t="s">
        <v>248</v>
      </c>
      <c r="E8" s="23" t="s">
        <v>249</v>
      </c>
      <c r="F8" s="25" t="s">
        <v>250</v>
      </c>
      <c r="G8" s="25" t="s">
        <v>251</v>
      </c>
      <c r="H8" s="24" t="s">
        <v>252</v>
      </c>
      <c r="I8" s="26" t="s">
        <v>253</v>
      </c>
      <c r="J8" s="25" t="s">
        <v>254</v>
      </c>
      <c r="K8" s="23" t="s">
        <v>255</v>
      </c>
    </row>
    <row r="9" spans="1:13" x14ac:dyDescent="0.35">
      <c r="A9" s="40" t="s">
        <v>226</v>
      </c>
      <c r="B9" s="41" t="s">
        <v>227</v>
      </c>
      <c r="C9" s="27" t="s">
        <v>256</v>
      </c>
      <c r="D9" s="28" t="s">
        <v>257</v>
      </c>
      <c r="E9" s="40" t="s">
        <v>9</v>
      </c>
      <c r="F9" s="29">
        <v>-15644.2</v>
      </c>
      <c r="G9" s="29">
        <v>-24092.059999999998</v>
      </c>
      <c r="H9" s="30" t="s">
        <v>258</v>
      </c>
      <c r="I9" s="27">
        <v>1.54</v>
      </c>
      <c r="J9" s="31">
        <f>I9*F9</f>
        <v>-24092.068000000003</v>
      </c>
      <c r="K9" s="32">
        <f t="shared" ref="K9:K21" si="0">G9-J9</f>
        <v>8.0000000052677933E-3</v>
      </c>
    </row>
    <row r="10" spans="1:13" x14ac:dyDescent="0.35">
      <c r="A10" s="40" t="s">
        <v>179</v>
      </c>
      <c r="B10" s="41" t="s">
        <v>180</v>
      </c>
      <c r="C10" s="27" t="s">
        <v>259</v>
      </c>
      <c r="D10" s="28" t="s">
        <v>257</v>
      </c>
      <c r="E10" s="40" t="s">
        <v>9</v>
      </c>
      <c r="F10" s="29">
        <v>0</v>
      </c>
      <c r="G10" s="29">
        <v>0</v>
      </c>
      <c r="H10" s="30" t="s">
        <v>258</v>
      </c>
      <c r="I10" s="27">
        <v>1.54</v>
      </c>
      <c r="J10" s="31">
        <f t="shared" ref="J10:J22" si="1">I10*F10</f>
        <v>0</v>
      </c>
      <c r="K10" s="32">
        <f t="shared" si="0"/>
        <v>0</v>
      </c>
    </row>
    <row r="11" spans="1:13" x14ac:dyDescent="0.35">
      <c r="A11" s="40" t="s">
        <v>195</v>
      </c>
      <c r="B11" s="41" t="s">
        <v>196</v>
      </c>
      <c r="C11" s="27" t="s">
        <v>156</v>
      </c>
      <c r="D11" s="28" t="s">
        <v>260</v>
      </c>
      <c r="E11" s="40" t="s">
        <v>9</v>
      </c>
      <c r="F11" s="29">
        <v>-17800</v>
      </c>
      <c r="G11" s="29">
        <v>-27412</v>
      </c>
      <c r="H11" s="30" t="s">
        <v>261</v>
      </c>
      <c r="I11" s="27">
        <v>1.69</v>
      </c>
      <c r="J11" s="31">
        <f>I11*F11</f>
        <v>-30082</v>
      </c>
      <c r="K11" s="32">
        <f t="shared" si="0"/>
        <v>2670</v>
      </c>
      <c r="M11" s="33"/>
    </row>
    <row r="12" spans="1:13" x14ac:dyDescent="0.35">
      <c r="A12" s="40" t="s">
        <v>185</v>
      </c>
      <c r="B12" s="41" t="s">
        <v>186</v>
      </c>
      <c r="C12" s="27" t="s">
        <v>259</v>
      </c>
      <c r="D12" s="28" t="s">
        <v>257</v>
      </c>
      <c r="E12" s="40" t="s">
        <v>9</v>
      </c>
      <c r="F12" s="29">
        <v>189810.28</v>
      </c>
      <c r="G12" s="29">
        <v>292307.83</v>
      </c>
      <c r="H12" s="30" t="s">
        <v>258</v>
      </c>
      <c r="I12" s="27">
        <v>1.54</v>
      </c>
      <c r="J12" s="31">
        <f t="shared" si="1"/>
        <v>292307.83120000002</v>
      </c>
      <c r="K12" s="32">
        <f t="shared" si="0"/>
        <v>-1.1999999987892807E-3</v>
      </c>
      <c r="M12" s="33"/>
    </row>
    <row r="13" spans="1:13" x14ac:dyDescent="0.35">
      <c r="A13" s="40" t="s">
        <v>211</v>
      </c>
      <c r="B13" s="41" t="s">
        <v>212</v>
      </c>
      <c r="C13" s="27" t="s">
        <v>156</v>
      </c>
      <c r="D13" s="28" t="s">
        <v>260</v>
      </c>
      <c r="E13" s="40" t="s">
        <v>9</v>
      </c>
      <c r="F13" s="29">
        <v>-173.99</v>
      </c>
      <c r="G13" s="29">
        <v>-267.95000000000005</v>
      </c>
      <c r="H13" s="30" t="s">
        <v>261</v>
      </c>
      <c r="I13" s="27">
        <v>1.69</v>
      </c>
      <c r="J13" s="31">
        <f t="shared" si="1"/>
        <v>-294.04309999999998</v>
      </c>
      <c r="K13" s="32">
        <f t="shared" si="0"/>
        <v>26.093099999999936</v>
      </c>
      <c r="L13" s="34" t="s">
        <v>262</v>
      </c>
    </row>
    <row r="14" spans="1:13" x14ac:dyDescent="0.35">
      <c r="A14" s="40" t="s">
        <v>202</v>
      </c>
      <c r="B14" s="41" t="s">
        <v>200</v>
      </c>
      <c r="C14" s="27" t="s">
        <v>156</v>
      </c>
      <c r="D14" s="28" t="s">
        <v>260</v>
      </c>
      <c r="E14" s="40" t="s">
        <v>9</v>
      </c>
      <c r="F14" s="29">
        <v>0</v>
      </c>
      <c r="G14" s="29">
        <v>0</v>
      </c>
      <c r="H14" s="30" t="s">
        <v>261</v>
      </c>
      <c r="I14" s="27">
        <v>1.69</v>
      </c>
      <c r="J14" s="31">
        <f t="shared" si="1"/>
        <v>0</v>
      </c>
      <c r="K14" s="32">
        <f t="shared" si="0"/>
        <v>0</v>
      </c>
    </row>
    <row r="15" spans="1:13" x14ac:dyDescent="0.35">
      <c r="A15" s="40" t="s">
        <v>197</v>
      </c>
      <c r="B15" s="41" t="s">
        <v>198</v>
      </c>
      <c r="C15" s="27" t="s">
        <v>156</v>
      </c>
      <c r="D15" s="28" t="s">
        <v>260</v>
      </c>
      <c r="E15" s="40" t="s">
        <v>9</v>
      </c>
      <c r="F15" s="29">
        <v>-94430.34</v>
      </c>
      <c r="G15" s="29">
        <v>-145422.72</v>
      </c>
      <c r="H15" s="30" t="s">
        <v>261</v>
      </c>
      <c r="I15" s="27">
        <v>1.69</v>
      </c>
      <c r="J15" s="31">
        <f t="shared" si="1"/>
        <v>-159587.27459999998</v>
      </c>
      <c r="K15" s="32">
        <f>G15-J15</f>
        <v>14164.554599999974</v>
      </c>
      <c r="M15" s="33"/>
    </row>
    <row r="16" spans="1:13" x14ac:dyDescent="0.35">
      <c r="A16" s="40" t="s">
        <v>174</v>
      </c>
      <c r="B16" s="41" t="s">
        <v>175</v>
      </c>
      <c r="C16" s="27" t="s">
        <v>156</v>
      </c>
      <c r="D16" s="28" t="s">
        <v>260</v>
      </c>
      <c r="E16" s="40" t="s">
        <v>9</v>
      </c>
      <c r="F16" s="29">
        <v>-79561.75</v>
      </c>
      <c r="G16" s="29">
        <v>-122525.10000000003</v>
      </c>
      <c r="H16" s="30" t="s">
        <v>261</v>
      </c>
      <c r="I16" s="27">
        <v>1.69</v>
      </c>
      <c r="J16" s="31">
        <f t="shared" si="1"/>
        <v>-134459.35749999998</v>
      </c>
      <c r="K16" s="32">
        <f t="shared" si="0"/>
        <v>11934.257499999949</v>
      </c>
    </row>
    <row r="17" spans="1:12" x14ac:dyDescent="0.35">
      <c r="A17" s="40" t="s">
        <v>226</v>
      </c>
      <c r="B17" s="41" t="s">
        <v>227</v>
      </c>
      <c r="C17" s="27" t="s">
        <v>256</v>
      </c>
      <c r="D17" s="28" t="s">
        <v>257</v>
      </c>
      <c r="E17" s="40" t="s">
        <v>178</v>
      </c>
      <c r="F17" s="39">
        <v>-12710.91</v>
      </c>
      <c r="G17" s="39">
        <v>-17413.95</v>
      </c>
      <c r="H17" s="30" t="s">
        <v>258</v>
      </c>
      <c r="I17" s="27">
        <v>1.37</v>
      </c>
      <c r="J17" s="31">
        <f t="shared" si="1"/>
        <v>-17413.9467</v>
      </c>
      <c r="K17" s="32">
        <f t="shared" si="0"/>
        <v>-3.3000000003085006E-3</v>
      </c>
    </row>
    <row r="18" spans="1:12" x14ac:dyDescent="0.35">
      <c r="A18" s="40" t="s">
        <v>195</v>
      </c>
      <c r="B18" s="41" t="s">
        <v>196</v>
      </c>
      <c r="C18" s="27" t="s">
        <v>259</v>
      </c>
      <c r="D18" s="28" t="s">
        <v>257</v>
      </c>
      <c r="E18" s="40" t="s">
        <v>178</v>
      </c>
      <c r="F18" s="39">
        <v>-13500</v>
      </c>
      <c r="G18" s="39">
        <v>-18495</v>
      </c>
      <c r="H18" s="30" t="s">
        <v>258</v>
      </c>
      <c r="I18" s="27">
        <v>1.37</v>
      </c>
      <c r="J18" s="31">
        <f t="shared" si="1"/>
        <v>-18495</v>
      </c>
      <c r="K18" s="32">
        <f t="shared" si="0"/>
        <v>0</v>
      </c>
    </row>
    <row r="19" spans="1:12" x14ac:dyDescent="0.35">
      <c r="A19" s="40" t="s">
        <v>211</v>
      </c>
      <c r="B19" s="41" t="s">
        <v>212</v>
      </c>
      <c r="C19" s="27" t="s">
        <v>156</v>
      </c>
      <c r="D19" s="28" t="s">
        <v>260</v>
      </c>
      <c r="E19" s="40" t="s">
        <v>178</v>
      </c>
      <c r="F19" s="39">
        <v>12.699999999999989</v>
      </c>
      <c r="G19" s="39">
        <v>17.400000000000006</v>
      </c>
      <c r="H19" s="30" t="s">
        <v>261</v>
      </c>
      <c r="I19" s="27">
        <v>1.5</v>
      </c>
      <c r="J19" s="31">
        <f t="shared" si="1"/>
        <v>19.049999999999983</v>
      </c>
      <c r="K19" s="32">
        <f t="shared" si="0"/>
        <v>-1.6499999999999773</v>
      </c>
      <c r="L19" s="34" t="s">
        <v>262</v>
      </c>
    </row>
    <row r="20" spans="1:12" x14ac:dyDescent="0.35">
      <c r="A20" s="40" t="s">
        <v>202</v>
      </c>
      <c r="B20" s="41" t="s">
        <v>200</v>
      </c>
      <c r="C20" s="27" t="s">
        <v>259</v>
      </c>
      <c r="D20" s="28" t="s">
        <v>257</v>
      </c>
      <c r="E20" s="40" t="s">
        <v>178</v>
      </c>
      <c r="F20" s="39">
        <v>0</v>
      </c>
      <c r="G20" s="39">
        <v>0</v>
      </c>
      <c r="H20" s="30" t="s">
        <v>258</v>
      </c>
      <c r="I20" s="27">
        <v>1.37</v>
      </c>
      <c r="J20" s="31">
        <f t="shared" si="1"/>
        <v>0</v>
      </c>
      <c r="K20" s="32">
        <f t="shared" si="0"/>
        <v>0</v>
      </c>
    </row>
    <row r="21" spans="1:12" x14ac:dyDescent="0.35">
      <c r="A21" s="40" t="s">
        <v>197</v>
      </c>
      <c r="B21" s="41" t="s">
        <v>198</v>
      </c>
      <c r="C21" s="27" t="s">
        <v>156</v>
      </c>
      <c r="D21" s="28" t="s">
        <v>260</v>
      </c>
      <c r="E21" s="40" t="s">
        <v>178</v>
      </c>
      <c r="F21" s="39">
        <v>-153.22000000000025</v>
      </c>
      <c r="G21" s="39">
        <v>-209.90999999999804</v>
      </c>
      <c r="H21" s="30" t="s">
        <v>261</v>
      </c>
      <c r="I21" s="27">
        <v>1.5</v>
      </c>
      <c r="J21" s="31">
        <f t="shared" si="1"/>
        <v>-229.83000000000038</v>
      </c>
      <c r="K21" s="32">
        <f t="shared" si="0"/>
        <v>19.920000000002346</v>
      </c>
      <c r="L21" s="34" t="s">
        <v>262</v>
      </c>
    </row>
    <row r="22" spans="1:12" x14ac:dyDescent="0.35">
      <c r="A22" s="40" t="s">
        <v>174</v>
      </c>
      <c r="B22" s="41" t="s">
        <v>175</v>
      </c>
      <c r="C22" s="27" t="s">
        <v>156</v>
      </c>
      <c r="D22" s="28" t="s">
        <v>260</v>
      </c>
      <c r="E22" s="40" t="s">
        <v>178</v>
      </c>
      <c r="F22" s="39">
        <v>12851.43</v>
      </c>
      <c r="G22" s="39">
        <v>17606.46</v>
      </c>
      <c r="H22" s="30" t="s">
        <v>261</v>
      </c>
      <c r="I22" s="27">
        <v>1.5</v>
      </c>
      <c r="J22" s="31">
        <f t="shared" si="1"/>
        <v>19277.145</v>
      </c>
      <c r="K22" s="32">
        <f>G22-J22</f>
        <v>-1670.6850000000013</v>
      </c>
    </row>
    <row r="23" spans="1:12" x14ac:dyDescent="0.35">
      <c r="F23" s="35"/>
      <c r="G23" s="36"/>
      <c r="H23" s="37"/>
      <c r="J23" s="38"/>
      <c r="K23" s="38"/>
    </row>
    <row r="24" spans="1:12" x14ac:dyDescent="0.35">
      <c r="F24" s="35"/>
      <c r="G24" s="36"/>
      <c r="H24" s="37"/>
      <c r="J24" s="38"/>
      <c r="K24" s="38"/>
    </row>
    <row r="25" spans="1:12" x14ac:dyDescent="0.35">
      <c r="F25" s="35"/>
      <c r="G25" s="36"/>
      <c r="H25" s="37"/>
      <c r="J25" s="38"/>
      <c r="K25" s="38"/>
    </row>
    <row r="26" spans="1:12" x14ac:dyDescent="0.35">
      <c r="F26" s="35"/>
      <c r="G26" s="36"/>
      <c r="H26" s="37"/>
      <c r="J26" s="38"/>
      <c r="K26" s="38"/>
    </row>
    <row r="27" spans="1:12" x14ac:dyDescent="0.35">
      <c r="F27" s="35"/>
      <c r="G27" s="36"/>
      <c r="H27" s="37"/>
      <c r="J27" s="38"/>
      <c r="K27" s="38"/>
    </row>
    <row r="28" spans="1:12" x14ac:dyDescent="0.35">
      <c r="F28" s="35"/>
      <c r="G28" s="36"/>
      <c r="H28" s="37"/>
      <c r="J28" s="38"/>
      <c r="K28" s="38"/>
    </row>
    <row r="29" spans="1:12" x14ac:dyDescent="0.35">
      <c r="F29" s="35"/>
      <c r="G29" s="36"/>
      <c r="H29" s="37"/>
      <c r="J29" s="38"/>
      <c r="K29" s="38"/>
    </row>
    <row r="30" spans="1:12" x14ac:dyDescent="0.35">
      <c r="F30" s="35"/>
      <c r="G30" s="36"/>
      <c r="H30" s="37"/>
      <c r="J30" s="38"/>
      <c r="K30" s="38"/>
    </row>
    <row r="31" spans="1:12" x14ac:dyDescent="0.35">
      <c r="F31" s="35"/>
      <c r="G31" s="36"/>
      <c r="H31" s="37"/>
      <c r="J31" s="38"/>
      <c r="K31" s="38"/>
    </row>
    <row r="32" spans="1:12" x14ac:dyDescent="0.35">
      <c r="F32" s="35"/>
      <c r="G32" s="36"/>
      <c r="H32" s="37"/>
      <c r="J32" s="38"/>
      <c r="K32" s="38"/>
    </row>
    <row r="33" spans="6:11" x14ac:dyDescent="0.35">
      <c r="F33" s="35"/>
      <c r="G33" s="36"/>
      <c r="H33" s="37"/>
      <c r="J33" s="38"/>
      <c r="K33" s="38"/>
    </row>
    <row r="34" spans="6:11" x14ac:dyDescent="0.35">
      <c r="F34" s="35"/>
      <c r="G34" s="36"/>
      <c r="H34" s="37"/>
      <c r="J34" s="38"/>
      <c r="K34" s="38"/>
    </row>
    <row r="35" spans="6:11" x14ac:dyDescent="0.35">
      <c r="F35" s="35"/>
      <c r="G35" s="36"/>
      <c r="H35" s="37"/>
      <c r="J35" s="38"/>
      <c r="K35" s="38"/>
    </row>
    <row r="36" spans="6:11" x14ac:dyDescent="0.35">
      <c r="F36" s="35"/>
      <c r="G36" s="36"/>
      <c r="H36" s="37"/>
      <c r="J36" s="38"/>
      <c r="K36" s="38"/>
    </row>
    <row r="37" spans="6:11" x14ac:dyDescent="0.35">
      <c r="F37" s="35"/>
      <c r="G37" s="36"/>
      <c r="H37" s="37"/>
      <c r="J37" s="38"/>
      <c r="K37" s="38"/>
    </row>
    <row r="38" spans="6:11" x14ac:dyDescent="0.35">
      <c r="F38" s="35"/>
      <c r="G38" s="36"/>
      <c r="H38" s="37"/>
      <c r="J38" s="38"/>
      <c r="K38" s="38"/>
    </row>
    <row r="39" spans="6:11" x14ac:dyDescent="0.35">
      <c r="F39" s="35"/>
      <c r="G39" s="36"/>
      <c r="H39" s="37"/>
      <c r="J39" s="38"/>
      <c r="K39" s="38"/>
    </row>
    <row r="41" spans="6:11" x14ac:dyDescent="0.35">
      <c r="I41" s="38"/>
    </row>
    <row r="42" spans="6:11" x14ac:dyDescent="0.35">
      <c r="I42" s="38"/>
    </row>
    <row r="43" spans="6:11" x14ac:dyDescent="0.35">
      <c r="I43" s="38"/>
    </row>
    <row r="45" spans="6:11" x14ac:dyDescent="0.35">
      <c r="F45" s="21"/>
    </row>
    <row r="46" spans="6:11" x14ac:dyDescent="0.35">
      <c r="F46" s="50" t="s">
        <v>263</v>
      </c>
      <c r="G46" s="51">
        <f>-SUM(H47:H50)-G47</f>
        <v>27098.127099999921</v>
      </c>
      <c r="H46" s="52"/>
    </row>
    <row r="47" spans="6:11" x14ac:dyDescent="0.35">
      <c r="F47" s="53" t="str">
        <f>B22</f>
        <v>LT Lease Payable</v>
      </c>
      <c r="G47" s="54">
        <f>-K22</f>
        <v>1670.6850000000013</v>
      </c>
      <c r="H47" s="64"/>
    </row>
    <row r="48" spans="6:11" x14ac:dyDescent="0.35">
      <c r="F48" s="56" t="s">
        <v>196</v>
      </c>
      <c r="H48" s="57">
        <f>-K11</f>
        <v>-2670</v>
      </c>
      <c r="I48" s="38"/>
    </row>
    <row r="49" spans="6:9" x14ac:dyDescent="0.35">
      <c r="F49" s="56" t="s">
        <v>264</v>
      </c>
      <c r="H49" s="57">
        <f>-K15</f>
        <v>-14164.554599999974</v>
      </c>
      <c r="I49" s="38"/>
    </row>
    <row r="50" spans="6:9" x14ac:dyDescent="0.35">
      <c r="F50" s="58" t="str">
        <f>B16</f>
        <v>LT Lease Payable</v>
      </c>
      <c r="G50" s="59"/>
      <c r="H50" s="60">
        <f>-K16</f>
        <v>-11934.257499999949</v>
      </c>
      <c r="I50" s="38"/>
    </row>
    <row r="51" spans="6:9" x14ac:dyDescent="0.35">
      <c r="I51" s="38"/>
    </row>
  </sheetData>
  <mergeCells count="3">
    <mergeCell ref="A5:K5"/>
    <mergeCell ref="F7:G7"/>
    <mergeCell ref="I7:J7"/>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Instructions</vt:lpstr>
      <vt:lpstr>Period 1 --&gt; </vt:lpstr>
      <vt:lpstr>2. CTR P1</vt:lpstr>
      <vt:lpstr>3. CTR Pivot P1</vt:lpstr>
      <vt:lpstr>4. Remeasurement P1</vt:lpstr>
      <vt:lpstr>Period 2 --&gt;</vt:lpstr>
      <vt:lpstr>2.2 CTR P2</vt:lpstr>
      <vt:lpstr>3.2 CTR Pivot P2</vt:lpstr>
      <vt:lpstr>4.2 Remeasurement P2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Hailey Wilson</dc:creator>
  <cp:keywords/>
  <dc:description/>
  <cp:lastModifiedBy>Catalina Fulger</cp:lastModifiedBy>
  <cp:revision/>
  <dcterms:created xsi:type="dcterms:W3CDTF">2026-01-15T14:42:32Z</dcterms:created>
  <dcterms:modified xsi:type="dcterms:W3CDTF">2026-03-19T18:16:38Z</dcterms:modified>
  <cp:category/>
  <cp:contentStatus/>
</cp:coreProperties>
</file>